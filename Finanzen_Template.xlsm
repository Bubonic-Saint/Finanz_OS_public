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1.xml" ContentType="application/vnd.ms-office.chartstyle+xml"/>
  <Override PartName="/xl/charts/colors1.xml" ContentType="application/vnd.ms-office.chartcolorstyle+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mc:AlternateContent xmlns:mc="http://schemas.openxmlformats.org/markup-compatibility/2006">
    <mc:Choice Requires="x15">
      <x15ac:absPath xmlns:x15ac="http://schemas.microsoft.com/office/spreadsheetml/2010/11/ac" url="C:\Users\kevin\Git\Finanz_OS_2\"/>
    </mc:Choice>
  </mc:AlternateContent>
  <xr:revisionPtr revIDLastSave="0" documentId="13_ncr:1_{BE3E3467-F7F5-4C97-9909-E10ECE9CEBBA}" xr6:coauthVersionLast="47" xr6:coauthVersionMax="47" xr10:uidLastSave="{00000000-0000-0000-0000-000000000000}"/>
  <bookViews>
    <workbookView xWindow="5904" yWindow="432" windowWidth="32064" windowHeight="15816" tabRatio="706" activeTab="3" xr2:uid="{00000000-000D-0000-FFFF-FFFF00000000}"/>
  </bookViews>
  <sheets>
    <sheet name="Data" sheetId="1" r:id="rId1"/>
    <sheet name="Dropdown Data" sheetId="2" r:id="rId2"/>
    <sheet name="Calculations" sheetId="3" r:id="rId3"/>
    <sheet name="Import" sheetId="4" r:id="rId4"/>
    <sheet name="Settings" sheetId="5" r:id="rId5"/>
    <sheet name="Budget Tracking" sheetId="6" r:id="rId6"/>
    <sheet name="Budget Planning" sheetId="7" r:id="rId7"/>
    <sheet name="Budget Dashboard" sheetId="8" r:id="rId8"/>
  </sheets>
  <functionGroups builtInGroupCount="19"/>
  <definedNames>
    <definedName name="_xleta.COUNTA" hidden="1" xlm="1">#NAME?</definedName>
    <definedName name="_xleta.MAX" hidden="1" xlm="1">#NAME?</definedName>
    <definedName name="_xleta.MIN" hidden="1" xlm="1">#NAME?</definedName>
    <definedName name="_xleta.N" hidden="1" xlm="1">#NAME?</definedName>
    <definedName name="_xleta.ROW" hidden="1" xlm="1">#NAME?</definedName>
    <definedName name="_xleta.SUM" hidden="1" xlm="1">#NAME?</definedName>
    <definedName name="_xleta.T" hidden="1" xlm="1">#NAME?</definedName>
    <definedName name="_xlpm.cond" hidden="1" xlm="1">#NAME?</definedName>
    <definedName name="_xlpm.dt" hidden="1" xlm="1">#NAME?</definedName>
    <definedName name="_xlpm.kat" hidden="1" xlm="1">#NAME?</definedName>
    <definedName name="_xlpm.kat_sel" hidden="1" xlm="1">#NAME?</definedName>
    <definedName name="_xlpm.prd" hidden="1" xlm="1">#NAME?</definedName>
    <definedName name="_xlpm.sub" hidden="1" xlm="1">#NAME?</definedName>
    <definedName name="_xlpm.typ" hidden="1" xlm="1">#NAME?</definedName>
    <definedName name="_xlpm.type_sel" hidden="1" xlm="1">#NAME?</definedName>
    <definedName name="_xlpm.yr" hidden="1" xlm="1">#NAME?</definedName>
    <definedName name="budget" localSheetId="7">'Budget Dashboard'!$L1</definedName>
    <definedName name="budget_range" localSheetId="7">'Budget Dashboard'!$Q1</definedName>
    <definedName name="budget_rank" localSheetId="7">'Budget Dashboard'!$R1</definedName>
    <definedName name="cc_budget" localSheetId="2">Calculations!$J1</definedName>
    <definedName name="cc_delta" localSheetId="2">Calculations!$K1</definedName>
    <definedName name="cc_in_focus" localSheetId="2">Calculations!$F1</definedName>
    <definedName name="cc_month_number" localSheetId="2">Calculations!$E1</definedName>
    <definedName name="cc_show_remaining_budget" localSheetId="2">Calculations!$H1</definedName>
    <definedName name="cc_show_type" localSheetId="2">Calculations!$G1</definedName>
    <definedName name="cc_tracked" localSheetId="2">Calculations!$I1</definedName>
    <definedName name="cc_type" localSheetId="2">Calculations!$D1</definedName>
    <definedName name="comb_rank" localSheetId="7">'Budget Dashboard'!$S1</definedName>
    <definedName name="comb_rank_norm" localSheetId="7">'Budget Dashboard'!$U1</definedName>
    <definedName name="comb_rank_norm_run_range" localSheetId="7">'Budget Dashboard'!$V1</definedName>
    <definedName name="comb_rank_range" localSheetId="7">'Budget Dashboard'!$T1</definedName>
    <definedName name="comb_rank_unique" localSheetId="7">'Budget Dashboard'!$W1</definedName>
    <definedName name="current_date">TODAY()</definedName>
    <definedName name="current_day">Calculations!$D$7</definedName>
    <definedName name="Einkommen_Header_Row">ROW(Income[[#Headers],[Einkommen]])</definedName>
    <definedName name="Einkommen_Max_Row">12</definedName>
    <definedName name="ExterneDaten_1" localSheetId="3">Import!#REF!</definedName>
    <definedName name="ExterneDaten_10" localSheetId="3">Import!#REF!</definedName>
    <definedName name="ExterneDaten_11" localSheetId="3">Import!#REF!</definedName>
    <definedName name="ExterneDaten_12" localSheetId="3">Import!#REF!</definedName>
    <definedName name="ExterneDaten_13" localSheetId="3">Import!#REF!</definedName>
    <definedName name="ExterneDaten_14" localSheetId="3">Import!#REF!</definedName>
    <definedName name="ExterneDaten_15" localSheetId="3">Import!#REF!</definedName>
    <definedName name="ExterneDaten_2" localSheetId="3">Import!#REF!</definedName>
    <definedName name="ExterneDaten_3" localSheetId="3">Import!#REF!</definedName>
    <definedName name="ExterneDaten_4" localSheetId="3">Import!#REF!</definedName>
    <definedName name="ExterneDaten_5" localSheetId="3">Import!#REF!</definedName>
    <definedName name="ExterneDaten_6" localSheetId="3">Import!#REF!</definedName>
    <definedName name="ExterneDaten_7" localSheetId="3">Import!#REF!</definedName>
    <definedName name="ExterneDaten_8" localSheetId="3">Import!#REF!</definedName>
    <definedName name="ExterneDaten_9" localSheetId="3">Import!#REF!</definedName>
    <definedName name="fixed_costs_max_row">26</definedName>
    <definedName name="fixed_costs_min_row">23</definedName>
    <definedName name="fixed_costs_total_row">33</definedName>
    <definedName name="Fixkosten_Header_Row">ROW(FixedCosts[[#Headers],[Fixkosten]])</definedName>
    <definedName name="Fixkosten_Max_Row">26</definedName>
    <definedName name="header_row_id" localSheetId="7">'Budget Dashboard'!$D1</definedName>
    <definedName name="income_max_row">12</definedName>
    <definedName name="income_min_row">10</definedName>
    <definedName name="income_shift_start_day">Settings!$F$16</definedName>
    <definedName name="income_shift_status">Settings!$F$14</definedName>
    <definedName name="income_total_row">20</definedName>
    <definedName name="Investment_Header_Row">ROW(Investment[[#Headers],[Investment]])</definedName>
    <definedName name="investment_max_row">51</definedName>
    <definedName name="investment_min_row">49</definedName>
    <definedName name="investment_total_row">59</definedName>
    <definedName name="is_cat" localSheetId="7">'Budget Dashboard'!$F1</definedName>
    <definedName name="is_empty" localSheetId="7">'Budget Dashboard'!$H1</definedName>
    <definedName name="is_header" localSheetId="7">'Budget Dashboard'!$E1</definedName>
    <definedName name="is_total" localSheetId="7">'Budget Dashboard'!$G1</definedName>
    <definedName name="item" localSheetId="7">'Budget Dashboard'!$J1</definedName>
    <definedName name="Kat_Einkommen">'Dropdown Data'!$Q$6:$Q$8</definedName>
    <definedName name="Kat_Fixkosten">'Dropdown Data'!$R$6:$R$9</definedName>
    <definedName name="Kat_Investment">'Dropdown Data'!$T$6:$T$8</definedName>
    <definedName name="Kat_Variablekosten">'Dropdown Data'!$S$6:$S$10</definedName>
    <definedName name="kpi_status_options">'Dropdown Data'!$B$6:$B$7</definedName>
    <definedName name="out_budget" localSheetId="7">'Budget Dashboard'!$AA1</definedName>
    <definedName name="out_percebtage_completed" localSheetId="7">'Budget Dashboard'!$AB1</definedName>
    <definedName name="out_tracked" localSheetId="7">'Budget Dashboard'!$Z1</definedName>
    <definedName name="row_id" localSheetId="7">'Budget Dashboard'!$C1</definedName>
    <definedName name="savings_rate_calculation_type">Settings!$F$20</definedName>
    <definedName name="selected_period">Calculations!$D$20</definedName>
    <definedName name="selected_period_display">Calculations!$D$21</definedName>
    <definedName name="selected_year">Calculations!$D$19</definedName>
    <definedName name="sort_max_row" localSheetId="7">'Budget Dashboard'!$N1</definedName>
    <definedName name="sort_min_row" localSheetId="7">'Budget Dashboard'!$M1</definedName>
    <definedName name="sorted_row_id__Lookup" localSheetId="7">'Budget Dashboard'!$X1</definedName>
    <definedName name="start_year">Settings!$F$7</definedName>
    <definedName name="Sub_Einkommen">income_subcategories[Einkommen]</definedName>
    <definedName name="Sub_Fixkosten">fixed_costs_subcategories[Fixkosten]</definedName>
    <definedName name="Sub_Investment">investment_subcategories[Investment]</definedName>
    <definedName name="Sub_Variablekosten">variable_costs_subcategories[Variablekosten]</definedName>
    <definedName name="subcategory_chart_data">Calculations!$AA$54:$AB$58</definedName>
    <definedName name="tracked" localSheetId="7">'Budget Dashboard'!$K1</definedName>
    <definedName name="tracked_range" localSheetId="7">'Budget Dashboard'!$O1</definedName>
    <definedName name="tracked_rank" localSheetId="7">'Budget Dashboard'!$P1</definedName>
    <definedName name="type" localSheetId="7">'Budget Dashboard'!$I1</definedName>
    <definedName name="variable_costs_max_row">40</definedName>
    <definedName name="variable_costs_min_row">36</definedName>
    <definedName name="variable_costs_total_row">46</definedName>
    <definedName name="Variablekosten_Header_Row">ROW(VariableCosts[[#Headers],[Variablekosten]])</definedName>
    <definedName name="Variablekosten_Max_Row">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54" i="3" l="1" a="1"/>
  <c r="AB54" i="3" s="1"/>
  <c r="AB55" i="3" a="1"/>
  <c r="AB55" i="3" s="1"/>
  <c r="AB56" i="3" a="1"/>
  <c r="AB56" i="3" s="1"/>
  <c r="AB57" i="3" a="1"/>
  <c r="AB57" i="3" s="1"/>
  <c r="AB58" i="3" a="1"/>
  <c r="AB58" i="3" s="1"/>
  <c r="AB59" i="3" a="1"/>
  <c r="AB59" i="3" s="1"/>
  <c r="AB60" i="3" a="1"/>
  <c r="AB60" i="3" s="1"/>
  <c r="AB61" i="3" a="1"/>
  <c r="AB61" i="3" s="1"/>
  <c r="AB62" i="3" a="1"/>
  <c r="AB62" i="3" s="1"/>
  <c r="AB63" i="3" a="1"/>
  <c r="AB63" i="3" s="1"/>
  <c r="AB64" i="3" a="1"/>
  <c r="AB64" i="3" s="1"/>
  <c r="AB65" i="3" a="1"/>
  <c r="AB65" i="3" s="1"/>
  <c r="AB66" i="3" a="1"/>
  <c r="AB66" i="3" s="1"/>
  <c r="AB67" i="3" a="1"/>
  <c r="AB67" i="3" s="1"/>
  <c r="AB68" i="3" a="1"/>
  <c r="AB68" i="3" s="1"/>
  <c r="AB69" i="3" a="1"/>
  <c r="AB69" i="3" s="1"/>
  <c r="AB70" i="3" a="1"/>
  <c r="AB70" i="3" s="1"/>
  <c r="AB71" i="3" a="1"/>
  <c r="AB71" i="3" s="1"/>
  <c r="AB72" i="3" a="1"/>
  <c r="AB72" i="3" s="1"/>
  <c r="S52" i="3" a="1"/>
  <c r="S52" i="3" s="1"/>
  <c r="T6" i="2" a="1"/>
  <c r="T6" i="2" s="1"/>
  <c r="S6" i="2" a="1"/>
  <c r="S6" i="2" s="1"/>
  <c r="R6" i="2" a="1"/>
  <c r="R6" i="2" s="1"/>
  <c r="Q6" i="2" a="1"/>
  <c r="Q6" i="2" s="1"/>
  <c r="O6" i="2" a="1"/>
  <c r="O6" i="2" s="1"/>
  <c r="N6" i="2" a="1"/>
  <c r="N6" i="2" s="1"/>
  <c r="Q10" i="7"/>
  <c r="G13" i="8" a="1"/>
  <c r="E5" i="7"/>
  <c r="D7" i="2"/>
  <c r="G14" i="8" l="1" a="1"/>
  <c r="I49" i="8" a="1"/>
  <c r="I49" i="8" s="1"/>
  <c r="I45" i="8" a="1"/>
  <c r="I45" i="8" s="1"/>
  <c r="AP36" i="8"/>
  <c r="AI36" i="8"/>
  <c r="AP22" i="8"/>
  <c r="AI22" i="8"/>
  <c r="C13" i="8" a="1"/>
  <c r="C13" i="8" s="1"/>
  <c r="C14" i="8" s="1" a="1"/>
  <c r="C14" i="8" s="1"/>
  <c r="C15" i="8" s="1" a="1"/>
  <c r="C15" i="8" s="1"/>
  <c r="FA58" i="7"/>
  <c r="EM58" i="7"/>
  <c r="DY58" i="7"/>
  <c r="DK58" i="7"/>
  <c r="CW58" i="7"/>
  <c r="CI58" i="7"/>
  <c r="BU58" i="7"/>
  <c r="BG58" i="7"/>
  <c r="AS58" i="7"/>
  <c r="AE58" i="7"/>
  <c r="Q58" i="7"/>
  <c r="FA57" i="7"/>
  <c r="EM57" i="7"/>
  <c r="DY57" i="7"/>
  <c r="DK57" i="7"/>
  <c r="CW57" i="7"/>
  <c r="CI57" i="7"/>
  <c r="BU57" i="7"/>
  <c r="BG57" i="7"/>
  <c r="AS57" i="7"/>
  <c r="AE57" i="7"/>
  <c r="Q57" i="7"/>
  <c r="FA56" i="7"/>
  <c r="EM56" i="7"/>
  <c r="DY56" i="7"/>
  <c r="DK56" i="7"/>
  <c r="CW56" i="7"/>
  <c r="CI56" i="7"/>
  <c r="BU56" i="7"/>
  <c r="BG56" i="7"/>
  <c r="AS56" i="7"/>
  <c r="AE56" i="7"/>
  <c r="Q56" i="7"/>
  <c r="FA55" i="7"/>
  <c r="EM55" i="7"/>
  <c r="DY55" i="7"/>
  <c r="DK55" i="7"/>
  <c r="CW55" i="7"/>
  <c r="CI55" i="7"/>
  <c r="BU55" i="7"/>
  <c r="BG55" i="7"/>
  <c r="AS55" i="7"/>
  <c r="AE55" i="7"/>
  <c r="Q55" i="7"/>
  <c r="FA54" i="7"/>
  <c r="EM54" i="7"/>
  <c r="DY54" i="7"/>
  <c r="DK54" i="7"/>
  <c r="CW54" i="7"/>
  <c r="CI54" i="7"/>
  <c r="BU54" i="7"/>
  <c r="BG54" i="7"/>
  <c r="AS54" i="7"/>
  <c r="AE54" i="7"/>
  <c r="Q54" i="7"/>
  <c r="FA53" i="7"/>
  <c r="EM53" i="7"/>
  <c r="DY53" i="7"/>
  <c r="DK53" i="7"/>
  <c r="CW53" i="7"/>
  <c r="CI53" i="7"/>
  <c r="BU53" i="7"/>
  <c r="BG53" i="7"/>
  <c r="AS53" i="7"/>
  <c r="AE53" i="7"/>
  <c r="Q53" i="7"/>
  <c r="FA52" i="7"/>
  <c r="EM52" i="7"/>
  <c r="DY52" i="7"/>
  <c r="DK52" i="7"/>
  <c r="CW52" i="7"/>
  <c r="CI52" i="7"/>
  <c r="BU52" i="7"/>
  <c r="BG52" i="7"/>
  <c r="AS52" i="7"/>
  <c r="AE52" i="7"/>
  <c r="Q52" i="7"/>
  <c r="FA51" i="7"/>
  <c r="EM51" i="7"/>
  <c r="DY51" i="7"/>
  <c r="DK51" i="7"/>
  <c r="CW51" i="7"/>
  <c r="CI51" i="7"/>
  <c r="BU51" i="7"/>
  <c r="BG51" i="7"/>
  <c r="AS51" i="7"/>
  <c r="AE51" i="7"/>
  <c r="Q51" i="7"/>
  <c r="FA50" i="7"/>
  <c r="EM50" i="7"/>
  <c r="DY50" i="7"/>
  <c r="DK50" i="7"/>
  <c r="CW50" i="7"/>
  <c r="CI50" i="7"/>
  <c r="BU50" i="7"/>
  <c r="BG50" i="7"/>
  <c r="AS50" i="7"/>
  <c r="AE50" i="7"/>
  <c r="Q50" i="7"/>
  <c r="FA49" i="7"/>
  <c r="EM49" i="7"/>
  <c r="DY49" i="7"/>
  <c r="DK49" i="7"/>
  <c r="CW49" i="7"/>
  <c r="CI49" i="7"/>
  <c r="BU49" i="7"/>
  <c r="BG49" i="7"/>
  <c r="AS49" i="7"/>
  <c r="AE49" i="7"/>
  <c r="Q49" i="7"/>
  <c r="FA45" i="7"/>
  <c r="EM45" i="7"/>
  <c r="DY45" i="7"/>
  <c r="DK45" i="7"/>
  <c r="CW45" i="7"/>
  <c r="CI45" i="7"/>
  <c r="BU45" i="7"/>
  <c r="BG45" i="7"/>
  <c r="AS45" i="7"/>
  <c r="AE45" i="7"/>
  <c r="Q45" i="7"/>
  <c r="FA44" i="7"/>
  <c r="EM44" i="7"/>
  <c r="DY44" i="7"/>
  <c r="DK44" i="7"/>
  <c r="CW44" i="7"/>
  <c r="CI44" i="7"/>
  <c r="BU44" i="7"/>
  <c r="BG44" i="7"/>
  <c r="AS44" i="7"/>
  <c r="AE44" i="7"/>
  <c r="Q44" i="7"/>
  <c r="FA43" i="7"/>
  <c r="EM43" i="7"/>
  <c r="DY43" i="7"/>
  <c r="DK43" i="7"/>
  <c r="CW43" i="7"/>
  <c r="CI43" i="7"/>
  <c r="BU43" i="7"/>
  <c r="BG43" i="7"/>
  <c r="AS43" i="7"/>
  <c r="AE43" i="7"/>
  <c r="Q43" i="7"/>
  <c r="FA42" i="7"/>
  <c r="EM42" i="7"/>
  <c r="DY42" i="7"/>
  <c r="DK42" i="7"/>
  <c r="CW42" i="7"/>
  <c r="CI42" i="7"/>
  <c r="BU42" i="7"/>
  <c r="BG42" i="7"/>
  <c r="AS42" i="7"/>
  <c r="AE42" i="7"/>
  <c r="Q42" i="7"/>
  <c r="FA41" i="7"/>
  <c r="EM41" i="7"/>
  <c r="DY41" i="7"/>
  <c r="DK41" i="7"/>
  <c r="CW41" i="7"/>
  <c r="CI41" i="7"/>
  <c r="BU41" i="7"/>
  <c r="BG41" i="7"/>
  <c r="AS41" i="7"/>
  <c r="AE41" i="7"/>
  <c r="Q41" i="7"/>
  <c r="FA40" i="7"/>
  <c r="EM40" i="7"/>
  <c r="DY40" i="7"/>
  <c r="DK40" i="7"/>
  <c r="CW40" i="7"/>
  <c r="CI40" i="7"/>
  <c r="BU40" i="7"/>
  <c r="BG40" i="7"/>
  <c r="AS40" i="7"/>
  <c r="AE40" i="7"/>
  <c r="Q40" i="7"/>
  <c r="FA39" i="7"/>
  <c r="EM39" i="7"/>
  <c r="DY39" i="7"/>
  <c r="DK39" i="7"/>
  <c r="CW39" i="7"/>
  <c r="CI39" i="7"/>
  <c r="BU39" i="7"/>
  <c r="BG39" i="7"/>
  <c r="AS39" i="7"/>
  <c r="AE39" i="7"/>
  <c r="Q39" i="7"/>
  <c r="FA38" i="7"/>
  <c r="EM38" i="7"/>
  <c r="DY38" i="7"/>
  <c r="DK38" i="7"/>
  <c r="CW38" i="7"/>
  <c r="CI38" i="7"/>
  <c r="BU38" i="7"/>
  <c r="BG38" i="7"/>
  <c r="AS38" i="7"/>
  <c r="AE38" i="7"/>
  <c r="Q38" i="7"/>
  <c r="FA37" i="7"/>
  <c r="EM37" i="7"/>
  <c r="DY37" i="7"/>
  <c r="DK37" i="7"/>
  <c r="CW37" i="7"/>
  <c r="CI37" i="7"/>
  <c r="BU37" i="7"/>
  <c r="BG37" i="7"/>
  <c r="AS37" i="7"/>
  <c r="AE37" i="7"/>
  <c r="Q37" i="7"/>
  <c r="FA36" i="7"/>
  <c r="EM36" i="7"/>
  <c r="DY36" i="7"/>
  <c r="DK36" i="7"/>
  <c r="CW36" i="7"/>
  <c r="CI36" i="7"/>
  <c r="BU36" i="7"/>
  <c r="BG36" i="7"/>
  <c r="AS36" i="7"/>
  <c r="AE36" i="7"/>
  <c r="Q36" i="7"/>
  <c r="FA32" i="7"/>
  <c r="EM32" i="7"/>
  <c r="DY32" i="7"/>
  <c r="DK32" i="7"/>
  <c r="CW32" i="7"/>
  <c r="CI32" i="7"/>
  <c r="BU32" i="7"/>
  <c r="BG32" i="7"/>
  <c r="AS32" i="7"/>
  <c r="AE32" i="7"/>
  <c r="Q32" i="7"/>
  <c r="FA31" i="7"/>
  <c r="EM31" i="7"/>
  <c r="DY31" i="7"/>
  <c r="DK31" i="7"/>
  <c r="CW31" i="7"/>
  <c r="CI31" i="7"/>
  <c r="BU31" i="7"/>
  <c r="BG31" i="7"/>
  <c r="AS31" i="7"/>
  <c r="AE31" i="7"/>
  <c r="Q31" i="7"/>
  <c r="FA30" i="7"/>
  <c r="EM30" i="7"/>
  <c r="DY30" i="7"/>
  <c r="DK30" i="7"/>
  <c r="CW30" i="7"/>
  <c r="CI30" i="7"/>
  <c r="BU30" i="7"/>
  <c r="BG30" i="7"/>
  <c r="AS30" i="7"/>
  <c r="AE30" i="7"/>
  <c r="Q30" i="7"/>
  <c r="FA29" i="7"/>
  <c r="EM29" i="7"/>
  <c r="DY29" i="7"/>
  <c r="DK29" i="7"/>
  <c r="CW29" i="7"/>
  <c r="CI29" i="7"/>
  <c r="BU29" i="7"/>
  <c r="BG29" i="7"/>
  <c r="AS29" i="7"/>
  <c r="AE29" i="7"/>
  <c r="Q29" i="7"/>
  <c r="FA28" i="7"/>
  <c r="EM28" i="7"/>
  <c r="DY28" i="7"/>
  <c r="DK28" i="7"/>
  <c r="CW28" i="7"/>
  <c r="CI28" i="7"/>
  <c r="BU28" i="7"/>
  <c r="BG28" i="7"/>
  <c r="AS28" i="7"/>
  <c r="AE28" i="7"/>
  <c r="Q28" i="7"/>
  <c r="FA27" i="7"/>
  <c r="EM27" i="7"/>
  <c r="DY27" i="7"/>
  <c r="DK27" i="7"/>
  <c r="CW27" i="7"/>
  <c r="CI27" i="7"/>
  <c r="BU27" i="7"/>
  <c r="BG27" i="7"/>
  <c r="AS27" i="7"/>
  <c r="AE27" i="7"/>
  <c r="Q27" i="7"/>
  <c r="FA26" i="7"/>
  <c r="EM26" i="7"/>
  <c r="DY26" i="7"/>
  <c r="DK26" i="7"/>
  <c r="CW26" i="7"/>
  <c r="CI26" i="7"/>
  <c r="BU26" i="7"/>
  <c r="BG26" i="7"/>
  <c r="AS26" i="7"/>
  <c r="AE26" i="7"/>
  <c r="Q26" i="7"/>
  <c r="FA25" i="7"/>
  <c r="EM25" i="7"/>
  <c r="DY25" i="7"/>
  <c r="DK25" i="7"/>
  <c r="CW25" i="7"/>
  <c r="CI25" i="7"/>
  <c r="BU25" i="7"/>
  <c r="BG25" i="7"/>
  <c r="AS25" i="7"/>
  <c r="AE25" i="7"/>
  <c r="Q25" i="7"/>
  <c r="FA24" i="7"/>
  <c r="EM24" i="7"/>
  <c r="DY24" i="7"/>
  <c r="DK24" i="7"/>
  <c r="CW24" i="7"/>
  <c r="CI24" i="7"/>
  <c r="BU24" i="7"/>
  <c r="BG24" i="7"/>
  <c r="AS24" i="7"/>
  <c r="AE24" i="7"/>
  <c r="Q24" i="7"/>
  <c r="FA23" i="7"/>
  <c r="EM23" i="7"/>
  <c r="DY23" i="7"/>
  <c r="DK23" i="7"/>
  <c r="CW23" i="7"/>
  <c r="CI23" i="7"/>
  <c r="BU23" i="7"/>
  <c r="BG23" i="7"/>
  <c r="AS23" i="7"/>
  <c r="AE23" i="7"/>
  <c r="Q23" i="7"/>
  <c r="FA19" i="7"/>
  <c r="EM19" i="7"/>
  <c r="DY19" i="7"/>
  <c r="DK19" i="7"/>
  <c r="CW19" i="7"/>
  <c r="CI19" i="7"/>
  <c r="BU19" i="7"/>
  <c r="BG19" i="7"/>
  <c r="AS19" i="7"/>
  <c r="AE19" i="7"/>
  <c r="Q19" i="7"/>
  <c r="FA18" i="7"/>
  <c r="EM18" i="7"/>
  <c r="DY18" i="7"/>
  <c r="DK18" i="7"/>
  <c r="CW18" i="7"/>
  <c r="CI18" i="7"/>
  <c r="BU18" i="7"/>
  <c r="BG18" i="7"/>
  <c r="AS18" i="7"/>
  <c r="AE18" i="7"/>
  <c r="Q18" i="7"/>
  <c r="FA17" i="7"/>
  <c r="EM17" i="7"/>
  <c r="DY17" i="7"/>
  <c r="DK17" i="7"/>
  <c r="CW17" i="7"/>
  <c r="CI17" i="7"/>
  <c r="BU17" i="7"/>
  <c r="BG17" i="7"/>
  <c r="AS17" i="7"/>
  <c r="AE17" i="7"/>
  <c r="Q17" i="7"/>
  <c r="FA16" i="7"/>
  <c r="EM16" i="7"/>
  <c r="DY16" i="7"/>
  <c r="DK16" i="7"/>
  <c r="CW16" i="7"/>
  <c r="CI16" i="7"/>
  <c r="BU16" i="7"/>
  <c r="BG16" i="7"/>
  <c r="AS16" i="7"/>
  <c r="AE16" i="7"/>
  <c r="Q16" i="7"/>
  <c r="FA15" i="7"/>
  <c r="EM15" i="7"/>
  <c r="DY15" i="7"/>
  <c r="DK15" i="7"/>
  <c r="CW15" i="7"/>
  <c r="CI15" i="7"/>
  <c r="BU15" i="7"/>
  <c r="BG15" i="7"/>
  <c r="AS15" i="7"/>
  <c r="AE15" i="7"/>
  <c r="Q15" i="7"/>
  <c r="FA14" i="7"/>
  <c r="EM14" i="7"/>
  <c r="DY14" i="7"/>
  <c r="DK14" i="7"/>
  <c r="CW14" i="7"/>
  <c r="CI14" i="7"/>
  <c r="BU14" i="7"/>
  <c r="BG14" i="7"/>
  <c r="AS14" i="7"/>
  <c r="AE14" i="7"/>
  <c r="Q14" i="7"/>
  <c r="FA13" i="7"/>
  <c r="EM13" i="7"/>
  <c r="DY13" i="7"/>
  <c r="DK13" i="7"/>
  <c r="CW13" i="7"/>
  <c r="CI13" i="7"/>
  <c r="BU13" i="7"/>
  <c r="BG13" i="7"/>
  <c r="AS13" i="7"/>
  <c r="AE13" i="7"/>
  <c r="Q13" i="7"/>
  <c r="FA12" i="7"/>
  <c r="EM12" i="7"/>
  <c r="DY12" i="7"/>
  <c r="DK12" i="7"/>
  <c r="CW12" i="7"/>
  <c r="CI12" i="7"/>
  <c r="BU12" i="7"/>
  <c r="BG12" i="7"/>
  <c r="AS12" i="7"/>
  <c r="AE12" i="7"/>
  <c r="Q12" i="7"/>
  <c r="FA11" i="7"/>
  <c r="EM11" i="7"/>
  <c r="DY11" i="7"/>
  <c r="DK11" i="7"/>
  <c r="CW11" i="7"/>
  <c r="CI11" i="7"/>
  <c r="BU11" i="7"/>
  <c r="BG11" i="7"/>
  <c r="AS11" i="7"/>
  <c r="AE11" i="7"/>
  <c r="Q11" i="7"/>
  <c r="FA10" i="7"/>
  <c r="EM10" i="7"/>
  <c r="DY10" i="7"/>
  <c r="DK10" i="7"/>
  <c r="CW10" i="7"/>
  <c r="CI10" i="7"/>
  <c r="BU10" i="7"/>
  <c r="BG10" i="7"/>
  <c r="AS10" i="7"/>
  <c r="AE10" i="7"/>
  <c r="N9" i="7"/>
  <c r="H22" i="7"/>
  <c r="H110" i="3"/>
  <c r="G110" i="3"/>
  <c r="H109" i="3"/>
  <c r="G109" i="3"/>
  <c r="H108" i="3"/>
  <c r="G108" i="3"/>
  <c r="H107" i="3"/>
  <c r="G107" i="3"/>
  <c r="H105" i="3"/>
  <c r="G105" i="3"/>
  <c r="H104" i="3"/>
  <c r="G104" i="3"/>
  <c r="H103" i="3"/>
  <c r="G103" i="3"/>
  <c r="H102" i="3"/>
  <c r="G102" i="3"/>
  <c r="H100" i="3"/>
  <c r="G100" i="3"/>
  <c r="H99" i="3"/>
  <c r="G99" i="3"/>
  <c r="H98" i="3"/>
  <c r="G98" i="3"/>
  <c r="H97" i="3"/>
  <c r="G97" i="3"/>
  <c r="H95" i="3"/>
  <c r="G95" i="3"/>
  <c r="H94" i="3"/>
  <c r="G94" i="3"/>
  <c r="H93" i="3"/>
  <c r="G93" i="3"/>
  <c r="H92" i="3"/>
  <c r="G92" i="3"/>
  <c r="H90" i="3"/>
  <c r="G90" i="3"/>
  <c r="H89" i="3"/>
  <c r="G89" i="3"/>
  <c r="H88" i="3"/>
  <c r="G88" i="3"/>
  <c r="H87" i="3"/>
  <c r="G87" i="3"/>
  <c r="H85" i="3"/>
  <c r="G85" i="3"/>
  <c r="H84" i="3"/>
  <c r="G84" i="3"/>
  <c r="H83" i="3"/>
  <c r="G83" i="3"/>
  <c r="H82" i="3"/>
  <c r="G82" i="3"/>
  <c r="H80" i="3"/>
  <c r="G80" i="3"/>
  <c r="H79" i="3"/>
  <c r="G79" i="3"/>
  <c r="H78" i="3"/>
  <c r="G78" i="3"/>
  <c r="H77" i="3"/>
  <c r="G77" i="3"/>
  <c r="H75" i="3"/>
  <c r="G75" i="3"/>
  <c r="H74" i="3"/>
  <c r="G74" i="3"/>
  <c r="H73" i="3"/>
  <c r="G73" i="3"/>
  <c r="H72" i="3"/>
  <c r="G72" i="3"/>
  <c r="H70" i="3"/>
  <c r="G70" i="3"/>
  <c r="H69" i="3"/>
  <c r="G69" i="3"/>
  <c r="H68" i="3"/>
  <c r="G68" i="3"/>
  <c r="H67" i="3"/>
  <c r="G67" i="3"/>
  <c r="H65" i="3"/>
  <c r="G65" i="3"/>
  <c r="H64" i="3"/>
  <c r="G64" i="3"/>
  <c r="H63" i="3"/>
  <c r="G63" i="3"/>
  <c r="H62" i="3"/>
  <c r="G62" i="3"/>
  <c r="H60" i="3"/>
  <c r="G60" i="3"/>
  <c r="H59" i="3"/>
  <c r="G59" i="3"/>
  <c r="H58" i="3"/>
  <c r="G58" i="3"/>
  <c r="H57" i="3"/>
  <c r="G57" i="3"/>
  <c r="H55" i="3"/>
  <c r="G55" i="3"/>
  <c r="H54" i="3"/>
  <c r="G54" i="3"/>
  <c r="H53" i="3"/>
  <c r="G53" i="3"/>
  <c r="H52" i="3"/>
  <c r="G52" i="3"/>
  <c r="Q39" i="3" a="1"/>
  <c r="Q39" i="3" s="1"/>
  <c r="M39" i="3" a="1"/>
  <c r="M39" i="3" s="1"/>
  <c r="AJ35" i="8" s="1"/>
  <c r="I39" i="3" a="1"/>
  <c r="I39" i="3" s="1"/>
  <c r="AQ21" i="8" s="1"/>
  <c r="Q38" i="3" a="1"/>
  <c r="Q38" i="3" s="1"/>
  <c r="I38" i="3" a="1"/>
  <c r="I38" i="3" s="1"/>
  <c r="AQ20" i="8" s="1"/>
  <c r="E38" i="3" a="1"/>
  <c r="E38" i="3" s="1"/>
  <c r="Q37" i="3" a="1"/>
  <c r="Q37" i="3" s="1"/>
  <c r="E37" i="3" a="1"/>
  <c r="E37" i="3" s="1"/>
  <c r="D11" i="3"/>
  <c r="D10" i="3"/>
  <c r="D8" i="3"/>
  <c r="D7" i="3" a="1"/>
  <c r="D7" i="3" s="1"/>
  <c r="D8" i="2"/>
  <c r="D9" i="2" s="1"/>
  <c r="D10" i="2" s="1"/>
  <c r="D11" i="2" s="1"/>
  <c r="D12" i="2" s="1"/>
  <c r="D13" i="2" s="1"/>
  <c r="D14" i="2" s="1"/>
  <c r="D15" i="2" s="1"/>
  <c r="D16" i="2" s="1"/>
  <c r="D17" i="2" s="1"/>
  <c r="D18" i="2" s="1"/>
  <c r="D19" i="2" s="1"/>
  <c r="D20" i="2" s="1"/>
  <c r="D21" i="2" s="1"/>
  <c r="EB33" i="7" a="1"/>
  <c r="DO46" i="7" a="1"/>
  <c r="CC33" i="7" a="1"/>
  <c r="AJ46" i="7" a="1"/>
  <c r="ER33" i="7" a="1"/>
  <c r="AU20" i="7" a="1"/>
  <c r="CW20" i="7" a="1"/>
  <c r="CQ33" i="7" a="1"/>
  <c r="BW20" i="7" a="1"/>
  <c r="BK46" i="7" a="1"/>
  <c r="BN20" i="7" a="1"/>
  <c r="EP33" i="7" a="1"/>
  <c r="DA20" i="7" a="1"/>
  <c r="BO46" i="7" a="1"/>
  <c r="BJ46" i="7" a="1"/>
  <c r="AE33" i="7" a="1"/>
  <c r="BP46" i="7" a="1"/>
  <c r="CB59" i="7" a="1"/>
  <c r="EZ59" i="7" a="1"/>
  <c r="DK46" i="7" a="1"/>
  <c r="BF20" i="7" a="1"/>
  <c r="BX33" i="7" a="1"/>
  <c r="AB46" i="7" a="1"/>
  <c r="EI33" i="7" a="1"/>
  <c r="FA59" i="7" a="1"/>
  <c r="EH33" i="7" a="1"/>
  <c r="DD20" i="7" a="1"/>
  <c r="BB59" i="7" a="1"/>
  <c r="S46" i="7" a="1"/>
  <c r="CE20" i="7" a="1"/>
  <c r="W33" i="7" a="1"/>
  <c r="AL59" i="7" a="1"/>
  <c r="BE33" i="7" a="1"/>
  <c r="BN46" i="7" a="1"/>
  <c r="CQ46" i="7" a="1"/>
  <c r="E59" i="7" a="1"/>
  <c r="J33" i="7" a="1"/>
  <c r="CV46" i="7" a="1"/>
  <c r="BL33" i="7" a="1"/>
  <c r="DS20" i="7" a="1"/>
  <c r="DA59" i="7" a="1"/>
  <c r="BR59" i="7" a="1"/>
  <c r="Z46" i="7" a="1"/>
  <c r="DR33" i="7" a="1"/>
  <c r="DQ33" i="7" a="1"/>
  <c r="EB20" i="7" a="1"/>
  <c r="BL46" i="7" a="1"/>
  <c r="CY20" i="7" a="1"/>
  <c r="CF20" i="7" a="1"/>
  <c r="AP20" i="7" a="1"/>
  <c r="EU59" i="7" a="1"/>
  <c r="AA33" i="7" a="1"/>
  <c r="BG33" i="7" a="1"/>
  <c r="AG59" i="7" a="1"/>
  <c r="CZ59" i="7" a="1"/>
  <c r="CU59" i="7" a="1"/>
  <c r="CP20" i="7" a="1"/>
  <c r="EC33" i="7" a="1"/>
  <c r="BI59" i="7" a="1"/>
  <c r="CA33" i="7" a="1"/>
  <c r="DK33" i="7" a="1"/>
  <c r="H20" i="7" a="1"/>
  <c r="BI46" i="7" a="1"/>
  <c r="AO33" i="7" a="1"/>
  <c r="EE33" i="7" a="1"/>
  <c r="AB33" i="7" a="1"/>
  <c r="CL46" i="7" a="1"/>
  <c r="U20" i="7" a="1"/>
  <c r="L33" i="7" a="1"/>
  <c r="EZ46" i="7" a="1"/>
  <c r="K46" i="7" a="1"/>
  <c r="DY46" i="7" a="1"/>
  <c r="EI59" i="7" a="1"/>
  <c r="Q20" i="7" a="1"/>
  <c r="K20" i="7" a="1"/>
  <c r="BX46" i="7" a="1"/>
  <c r="BX59" i="7" a="1"/>
  <c r="CI59" i="7" a="1"/>
  <c r="V20" i="7" a="1"/>
  <c r="DY20" i="7" a="1"/>
  <c r="DG33" i="7" a="1"/>
  <c r="DM59" i="7" a="1"/>
  <c r="EL59" i="7" a="1"/>
  <c r="AR20" i="7" a="1"/>
  <c r="DN33" i="7" a="1"/>
  <c r="BP59" i="7" a="1"/>
  <c r="EG20" i="7" a="1"/>
  <c r="ES20" i="7" a="1"/>
  <c r="BQ59" i="7" a="1"/>
  <c r="Z20" i="7" a="1"/>
  <c r="I20" i="7" a="1"/>
  <c r="AE46" i="7" a="1"/>
  <c r="CO46" i="7" a="1"/>
  <c r="CA46" i="7" a="1"/>
  <c r="AZ33" i="7" a="1"/>
  <c r="BE20" i="7" a="1"/>
  <c r="DU46" i="7" a="1"/>
  <c r="Z33" i="7" a="1"/>
  <c r="AS59" i="7" a="1"/>
  <c r="BR33" i="7" a="1"/>
  <c r="P59" i="7" a="1"/>
  <c r="CE59" i="7" a="1"/>
  <c r="EI46" i="7" a="1"/>
  <c r="AI46" i="7" a="1"/>
  <c r="W59" i="7" a="1"/>
  <c r="CB33" i="7" a="1"/>
  <c r="DR59" i="7" a="1"/>
  <c r="AY33" i="7" a="1"/>
  <c r="DC20" i="7" a="1"/>
  <c r="BZ20" i="7" a="1"/>
  <c r="CZ20" i="7" a="1"/>
  <c r="L20" i="7" a="1"/>
  <c r="BK59" i="7" a="1"/>
  <c r="CY59" i="7" a="1"/>
  <c r="EW59" i="7" a="1"/>
  <c r="CZ46" i="7" a="1"/>
  <c r="BG20" i="7" a="1"/>
  <c r="Y20" i="7" a="1"/>
  <c r="CB20" i="7" a="1"/>
  <c r="BW59" i="7" a="1"/>
  <c r="DE33" i="7" a="1"/>
  <c r="AE59" i="7" a="1"/>
  <c r="EP59" i="7" a="1"/>
  <c r="CC46" i="7" a="1"/>
  <c r="DP33" i="7" a="1"/>
  <c r="AY46" i="7" a="1"/>
  <c r="AZ59" i="7" a="1"/>
  <c r="BJ33" i="7" a="1"/>
  <c r="FA46" i="7" a="1"/>
  <c r="BA20" i="7" a="1"/>
  <c r="EL20" i="7" a="1"/>
  <c r="EA20" i="7" a="1"/>
  <c r="DN46" i="7" a="1"/>
  <c r="BQ33" i="7" a="1"/>
  <c r="EQ46" i="7" a="1"/>
  <c r="BC46" i="7" a="1"/>
  <c r="Y46" i="7" a="1"/>
  <c r="P20" i="7" a="1"/>
  <c r="DV59" i="7" a="1"/>
  <c r="W46" i="7" a="1"/>
  <c r="DP59" i="7" a="1"/>
  <c r="AN33" i="7" a="1"/>
  <c r="EJ33" i="7" a="1"/>
  <c r="AP46" i="7" a="1"/>
  <c r="BM33" i="7" a="1"/>
  <c r="AD46" i="7" a="1"/>
  <c r="ER59" i="7" a="1"/>
  <c r="EZ33" i="7" a="1"/>
  <c r="BI20" i="7" a="1"/>
  <c r="EH20" i="7" a="1"/>
  <c r="ER46" i="7" a="1"/>
  <c r="Q59" i="7" a="1"/>
  <c r="AS33" i="7" a="1"/>
  <c r="EK59" i="7" a="1"/>
  <c r="BA46" i="7" a="1"/>
  <c r="BL59" i="7" a="1"/>
  <c r="EY59" i="7" a="1"/>
  <c r="ET46" i="7" a="1"/>
  <c r="EL46" i="7" a="1"/>
  <c r="DU33" i="7" a="1"/>
  <c r="T59" i="7" a="1"/>
  <c r="EO33" i="7" a="1"/>
  <c r="EO59" i="7" a="1"/>
  <c r="AS20" i="7" a="1"/>
  <c r="CS20" i="7" a="1"/>
  <c r="BG59" i="7" a="1"/>
  <c r="DD59" i="7" a="1"/>
  <c r="DY59" i="7" a="1"/>
  <c r="BZ33" i="7" a="1"/>
  <c r="CS59" i="7" a="1"/>
  <c r="CR20" i="7" a="1"/>
  <c r="AR33" i="7" a="1"/>
  <c r="BB46" i="7" a="1"/>
  <c r="AO20" i="7" a="1"/>
  <c r="DX59" i="7" a="1"/>
  <c r="CG20" i="7" a="1"/>
  <c r="EF59" i="7" a="1"/>
  <c r="BP33" i="7" a="1"/>
  <c r="X59" i="7" a="1"/>
  <c r="AG20" i="7" a="1"/>
  <c r="CE46" i="7" a="1"/>
  <c r="BS46" i="7" a="1"/>
  <c r="BO59" i="7" a="1"/>
  <c r="CT20" i="7" a="1"/>
  <c r="CA20" i="7" a="1"/>
  <c r="DV20" i="7" a="1"/>
  <c r="EK46" i="7" a="1"/>
  <c r="DX46" i="7" a="1"/>
  <c r="AS46" i="7" a="1"/>
  <c r="CL20" i="7" a="1"/>
  <c r="BK20" i="7" a="1"/>
  <c r="EK20" i="7" a="1"/>
  <c r="EA59" i="7" a="1"/>
  <c r="M46" i="7" a="1"/>
  <c r="T20" i="7" a="1"/>
  <c r="BB20" i="7" a="1"/>
  <c r="CB46" i="7" a="1"/>
  <c r="J59" i="7" a="1"/>
  <c r="DR46" i="7" a="1"/>
  <c r="DT33" i="7" a="1"/>
  <c r="AH20" i="7" a="1"/>
  <c r="I46" i="7" a="1"/>
  <c r="EK33" i="7" a="1"/>
  <c r="CG46" i="7" a="1"/>
  <c r="EV33" i="7" a="1"/>
  <c r="CM33" i="7" a="1"/>
  <c r="DG46" i="7" a="1"/>
  <c r="DI33" i="7" a="1"/>
  <c r="AC46" i="7" a="1"/>
  <c r="EW33" i="7" a="1"/>
  <c r="BY33" i="7" a="1"/>
  <c r="AG46" i="7" a="1"/>
  <c r="CI46" i="7" a="1"/>
  <c r="BX20" i="7" a="1"/>
  <c r="ED20" i="7" a="1"/>
  <c r="DH46" i="7" a="1"/>
  <c r="CQ20" i="7" a="1"/>
  <c r="AK46" i="7" a="1"/>
  <c r="BY46" i="7" a="1"/>
  <c r="BG46" i="7" a="1"/>
  <c r="DB46" i="7" a="1"/>
  <c r="DQ59" i="7" a="1"/>
  <c r="DF46" i="7" a="1"/>
  <c r="G46" i="7" a="1"/>
  <c r="AD59" i="7" a="1"/>
  <c r="O59" i="7" a="1"/>
  <c r="DQ46" i="7" a="1"/>
  <c r="DM20" i="7" a="1"/>
  <c r="DW33" i="7" a="1"/>
  <c r="DK20" i="7" a="1"/>
  <c r="AN59" i="7" a="1"/>
  <c r="EQ59" i="7" a="1"/>
  <c r="CD46" i="7" a="1"/>
  <c r="EC20" i="7" a="1"/>
  <c r="CK59" i="7" a="1"/>
  <c r="BS59" i="7" a="1"/>
  <c r="AH59" i="7" a="1"/>
  <c r="DW46" i="7" a="1"/>
  <c r="DA46" i="7" a="1"/>
  <c r="DO20" i="7" a="1"/>
  <c r="CA59" i="7" a="1"/>
  <c r="J20" i="7" a="1"/>
  <c r="EL33" i="7" a="1"/>
  <c r="DX33" i="7" a="1"/>
  <c r="EJ59" i="7" a="1"/>
  <c r="CV59" i="7" a="1"/>
  <c r="EC46" i="7" a="1"/>
  <c r="AH46" i="7" a="1"/>
  <c r="BF59" i="7" a="1"/>
  <c r="CQ59" i="7" a="1"/>
  <c r="AX33" i="7" a="1"/>
  <c r="EB46" i="7" a="1"/>
  <c r="BC33" i="7" a="1"/>
  <c r="CO59" i="7" a="1"/>
  <c r="BB33" i="7" a="1"/>
  <c r="CV33" i="7" a="1"/>
  <c r="EQ20" i="7" a="1"/>
  <c r="DN20" i="7" a="1"/>
  <c r="P46" i="7" a="1"/>
  <c r="EE20" i="7" a="1"/>
  <c r="BM59" i="7" a="1"/>
  <c r="CN33" i="7" a="1"/>
  <c r="AN46" i="7" a="1"/>
  <c r="F59" i="7" a="1"/>
  <c r="CD20" i="7" a="1"/>
  <c r="AJ33" i="7" a="1"/>
  <c r="AU46" i="7" a="1"/>
  <c r="CL59" i="7" a="1"/>
  <c r="CG59" i="7" a="1"/>
  <c r="AK20" i="7" a="1"/>
  <c r="EP20" i="7" a="1"/>
  <c r="AW33" i="7" a="1"/>
  <c r="BR46" i="7" a="1"/>
  <c r="EY46" i="7" a="1"/>
  <c r="EX46" i="7" a="1"/>
  <c r="CP33" i="7" a="1"/>
  <c r="BS33" i="7" a="1"/>
  <c r="F33" i="7" a="1"/>
  <c r="AA46" i="7" a="1"/>
  <c r="DU59" i="7" a="1"/>
  <c r="DB33" i="7" a="1"/>
  <c r="DE20" i="7" a="1"/>
  <c r="G20" i="7" a="1"/>
  <c r="AK59" i="7" a="1"/>
  <c r="AY20" i="7" a="1"/>
  <c r="DH20" i="7" a="1"/>
  <c r="I33" i="7" a="1"/>
  <c r="EW20" i="7" a="1"/>
  <c r="BZ46" i="7" a="1"/>
  <c r="AM20" i="7" a="1"/>
  <c r="AI59" i="7" a="1"/>
  <c r="DV33" i="7" a="1"/>
  <c r="AM33" i="7" a="1"/>
  <c r="CY46" i="7" a="1"/>
  <c r="EZ20" i="7" a="1"/>
  <c r="EJ46" i="7" a="1"/>
  <c r="DO33" i="7" a="1"/>
  <c r="ES33" i="7" a="1"/>
  <c r="AI33" i="7" a="1"/>
  <c r="BT59" i="7" a="1"/>
  <c r="S33" i="7" a="1"/>
  <c r="AK33" i="7" a="1"/>
  <c r="U59" i="7" a="1"/>
  <c r="CW46" i="7" a="1"/>
  <c r="V59" i="7" a="1"/>
  <c r="F20" i="7" a="1"/>
  <c r="CN46" i="7" a="1"/>
  <c r="Y59" i="7" a="1"/>
  <c r="S59" i="7" a="1"/>
  <c r="AN20" i="7" a="1"/>
  <c r="DH59" i="7" a="1"/>
  <c r="BN33" i="7" a="1"/>
  <c r="BD59" i="7" a="1"/>
  <c r="AD20" i="7" a="1"/>
  <c r="BU20" i="7" a="1"/>
  <c r="DJ59" i="7" a="1"/>
  <c r="E33" i="7" a="1"/>
  <c r="DG20" i="7" a="1"/>
  <c r="X46" i="7" a="1"/>
  <c r="BM20" i="7" a="1"/>
  <c r="CD59" i="7" a="1"/>
  <c r="CR46" i="7" a="1"/>
  <c r="AM46" i="7" a="1"/>
  <c r="AE20" i="7" a="1"/>
  <c r="CP46" i="7" a="1"/>
  <c r="EC59" i="7" a="1"/>
  <c r="BS20" i="7" a="1"/>
  <c r="BI33" i="7" a="1"/>
  <c r="DD46" i="7" a="1"/>
  <c r="DF20" i="7" a="1"/>
  <c r="H33" i="7" a="1"/>
  <c r="CI33" i="7" a="1"/>
  <c r="AV33" i="7" a="1"/>
  <c r="AV20" i="7" a="1"/>
  <c r="BK33" i="7" a="1"/>
  <c r="E46" i="7" a="1"/>
  <c r="BA33" i="7" a="1"/>
  <c r="BY59" i="7" a="1"/>
  <c r="BQ46" i="7" a="1"/>
  <c r="EQ33" i="7" a="1"/>
  <c r="EV46" i="7" a="1"/>
  <c r="J46" i="7" a="1"/>
  <c r="BR20" i="7" a="1"/>
  <c r="EA46" i="7" a="1"/>
  <c r="DY33" i="7" a="1"/>
  <c r="U33" i="7" a="1"/>
  <c r="CO33" i="7" a="1"/>
  <c r="ED59" i="7" a="1"/>
  <c r="DC33" i="7" a="1"/>
  <c r="U46" i="7" a="1"/>
  <c r="N46" i="7" a="1"/>
  <c r="CG33" i="7" a="1"/>
  <c r="DF59" i="7" a="1"/>
  <c r="L46" i="7" a="1"/>
  <c r="CK33" i="7" a="1"/>
  <c r="AZ20" i="7" a="1"/>
  <c r="BZ59" i="7" a="1"/>
  <c r="Y33" i="7" a="1"/>
  <c r="CN59" i="7" a="1"/>
  <c r="BJ59" i="7" a="1"/>
  <c r="EG59" i="7" a="1"/>
  <c r="DH33" i="7" a="1"/>
  <c r="F46" i="7" a="1"/>
  <c r="BE59" i="7" a="1"/>
  <c r="BY20" i="7" a="1"/>
  <c r="CM20" i="7" a="1"/>
  <c r="V33" i="7" a="1"/>
  <c r="BA59" i="7" a="1"/>
  <c r="EW46" i="7" a="1"/>
  <c r="BO33" i="7" a="1"/>
  <c r="BU46" i="7" a="1"/>
  <c r="BO20" i="7" a="1"/>
  <c r="DM33" i="7" a="1"/>
  <c r="EM59" i="7" a="1"/>
  <c r="AY59" i="7" a="1"/>
  <c r="G59" i="7" a="1"/>
  <c r="AW59" i="7" a="1"/>
  <c r="EB59" i="7" a="1"/>
  <c r="BM46" i="7" a="1"/>
  <c r="CT46" i="7" a="1"/>
  <c r="N20" i="7" a="1"/>
  <c r="N59" i="7" a="1"/>
  <c r="AJ59" i="7" a="1"/>
  <c r="CC59" i="7" a="1"/>
  <c r="Q46" i="7" a="1"/>
  <c r="DA33" i="7" a="1"/>
  <c r="AH33" i="7" a="1"/>
  <c r="AQ33" i="7" a="1"/>
  <c r="K59" i="7" a="1"/>
  <c r="M59" i="7" a="1"/>
  <c r="AZ46" i="7" a="1"/>
  <c r="EX33" i="7" a="1"/>
  <c r="CZ33" i="7" a="1"/>
  <c r="EH59" i="7" a="1"/>
  <c r="V46" i="7" a="1"/>
  <c r="DE59" i="7" a="1"/>
  <c r="BP20" i="7" a="1"/>
  <c r="BW33" i="7" a="1"/>
  <c r="DT59" i="7" a="1"/>
  <c r="EY33" i="7" a="1"/>
  <c r="CH20" i="7" a="1"/>
  <c r="H59" i="7" a="1"/>
  <c r="K33" i="7" a="1"/>
  <c r="AQ20" i="7" a="1"/>
  <c r="BE46" i="7" a="1"/>
  <c r="EI20" i="7" a="1"/>
  <c r="O20" i="7" a="1"/>
  <c r="AP59" i="7" a="1"/>
  <c r="Q33" i="7" a="1"/>
  <c r="AJ20" i="7" a="1"/>
  <c r="CD33" i="7" a="1"/>
  <c r="CI20" i="7" a="1"/>
  <c r="T33" i="7" a="1"/>
  <c r="BT33" i="7" a="1"/>
  <c r="DN59" i="7" a="1"/>
  <c r="CL33" i="7" a="1"/>
  <c r="AL20" i="7" a="1"/>
  <c r="EV20" i="7" a="1"/>
  <c r="EO46" i="7" a="1"/>
  <c r="ER20" i="7" a="1"/>
  <c r="AQ59" i="7" a="1"/>
  <c r="DI59" i="7" a="1"/>
  <c r="FA20" i="7" a="1"/>
  <c r="CF59" i="7" a="1"/>
  <c r="EM20" i="7" a="1"/>
  <c r="DB20" i="7" a="1"/>
  <c r="EX59" i="7" a="1"/>
  <c r="BT20" i="7" a="1"/>
  <c r="ED46" i="7" a="1"/>
  <c r="BL20" i="7" a="1"/>
  <c r="EH46" i="7" a="1"/>
  <c r="AB59" i="7" a="1"/>
  <c r="CV20" i="7" a="1"/>
  <c r="EJ20" i="7" a="1"/>
  <c r="BF33" i="7" a="1"/>
  <c r="DI46" i="7" a="1"/>
  <c r="EV59" i="7" a="1"/>
  <c r="BJ20" i="7" a="1"/>
  <c r="S20" i="7" a="1"/>
  <c r="EE59" i="7" a="1"/>
  <c r="AX46" i="7" a="1"/>
  <c r="AC33" i="7" a="1"/>
  <c r="AO46" i="7" a="1"/>
  <c r="DC46" i="7" a="1"/>
  <c r="AC20" i="7" a="1"/>
  <c r="DF33" i="7" a="1"/>
  <c r="AQ46" i="7" a="1"/>
  <c r="EF33" i="7" a="1"/>
  <c r="CK46" i="7" a="1"/>
  <c r="BD33" i="7" a="1"/>
  <c r="CH59" i="7" a="1"/>
  <c r="CU33" i="7" a="1"/>
  <c r="O33" i="7" a="1"/>
  <c r="AV46" i="7" a="1"/>
  <c r="EP46" i="7" a="1"/>
  <c r="CC20" i="7" a="1"/>
  <c r="CT33" i="7" a="1"/>
  <c r="CN20" i="7" a="1"/>
  <c r="DS59" i="7" a="1"/>
  <c r="EM46" i="7" a="1"/>
  <c r="CF46" i="7" a="1"/>
  <c r="EF46" i="7" a="1"/>
  <c r="CE33" i="7" a="1"/>
  <c r="CF33" i="7" a="1"/>
  <c r="I59" i="7" a="1"/>
  <c r="ES46" i="7" a="1"/>
  <c r="ED33" i="7" a="1"/>
  <c r="AA59" i="7" a="1"/>
  <c r="DK59" i="7" a="1"/>
  <c r="CU46" i="7" a="1"/>
  <c r="BU33" i="7" a="1"/>
  <c r="AM59" i="7" a="1"/>
  <c r="EU20" i="7" a="1"/>
  <c r="AI20" i="7" a="1"/>
  <c r="CO20" i="7" a="1"/>
  <c r="CW59" i="7" a="1"/>
  <c r="BN59" i="7" a="1"/>
  <c r="DI20" i="7" a="1"/>
  <c r="AW20" i="7" a="1"/>
  <c r="EO20" i="7" a="1"/>
  <c r="CM59" i="7" a="1"/>
  <c r="AR59" i="7" a="1"/>
  <c r="DB59" i="7" a="1"/>
  <c r="CM46" i="7" a="1"/>
  <c r="DP20" i="7" a="1"/>
  <c r="AG33" i="7" a="1"/>
  <c r="EG46" i="7" a="1"/>
  <c r="O46" i="7" a="1"/>
  <c r="BD20" i="7" a="1"/>
  <c r="CY33" i="7" a="1"/>
  <c r="DR20" i="7" a="1"/>
  <c r="DJ46" i="7" a="1"/>
  <c r="DX20" i="7" a="1"/>
  <c r="G33" i="7" a="1"/>
  <c r="T46" i="7" a="1"/>
  <c r="AW46" i="7" a="1"/>
  <c r="W20" i="7" a="1"/>
  <c r="CW33" i="7" a="1"/>
  <c r="DM46" i="7" a="1"/>
  <c r="DQ20" i="7" a="1"/>
  <c r="FA33" i="7" a="1"/>
  <c r="DJ33" i="7" a="1"/>
  <c r="AC59" i="7" a="1"/>
  <c r="DW59" i="7" a="1"/>
  <c r="CU20" i="7" a="1"/>
  <c r="BC59" i="7" a="1"/>
  <c r="DE46" i="7" a="1"/>
  <c r="EG33" i="7" a="1"/>
  <c r="ES59" i="7" a="1"/>
  <c r="EF20" i="7" a="1"/>
  <c r="CK20" i="7" a="1"/>
  <c r="EM33" i="7" a="1"/>
  <c r="X33" i="7" a="1"/>
  <c r="AP33" i="7" a="1"/>
  <c r="CH46" i="7" a="1"/>
  <c r="EE46" i="7" a="1"/>
  <c r="DW20" i="7" a="1"/>
  <c r="M33" i="7" a="1"/>
  <c r="AX20" i="7" a="1"/>
  <c r="AU33" i="7" a="1"/>
  <c r="DS46" i="7" a="1"/>
  <c r="BQ20" i="7" a="1"/>
  <c r="DG59" i="7" a="1"/>
  <c r="BW46" i="7" a="1"/>
  <c r="EA33" i="7" a="1"/>
  <c r="DD33" i="7" a="1"/>
  <c r="AR46" i="7" a="1"/>
  <c r="DS33" i="7" a="1"/>
  <c r="CT59" i="7" a="1"/>
  <c r="BD46" i="7" a="1"/>
  <c r="AL46" i="7" a="1"/>
  <c r="EU46" i="7" a="1"/>
  <c r="AL33" i="7" a="1"/>
  <c r="ET33" i="7" a="1"/>
  <c r="DJ20" i="7" a="1"/>
  <c r="CR33" i="7" a="1"/>
  <c r="AB20" i="7" a="1"/>
  <c r="DU20" i="7" a="1"/>
  <c r="AD33" i="7" a="1"/>
  <c r="AO59" i="7" a="1"/>
  <c r="H46" i="7" a="1"/>
  <c r="X20" i="7" a="1"/>
  <c r="EU33" i="7" a="1"/>
  <c r="DO59" i="7" a="1"/>
  <c r="BT46" i="7" a="1"/>
  <c r="M20" i="7" a="1"/>
  <c r="N33" i="7" a="1"/>
  <c r="CS33" i="7" a="1"/>
  <c r="DC59" i="7" a="1"/>
  <c r="BF46" i="7" a="1"/>
  <c r="DT46" i="7" a="1"/>
  <c r="AV59" i="7" a="1"/>
  <c r="EX20" i="7" a="1"/>
  <c r="E20" i="7" a="1"/>
  <c r="BC20" i="7" a="1"/>
  <c r="CP59" i="7" a="1"/>
  <c r="CR59" i="7" a="1"/>
  <c r="EY20" i="7" a="1"/>
  <c r="DV46" i="7" a="1"/>
  <c r="BU59" i="7" a="1"/>
  <c r="AA20" i="7" a="1"/>
  <c r="DT20" i="7" a="1"/>
  <c r="AX59" i="7" a="1"/>
  <c r="L59" i="7" a="1"/>
  <c r="DP46" i="7" a="1"/>
  <c r="ET20" i="7" a="1"/>
  <c r="CH33" i="7" a="1"/>
  <c r="Z59" i="7" a="1"/>
  <c r="AU59" i="7" a="1"/>
  <c r="P33" i="7" a="1"/>
  <c r="ET59" i="7" a="1"/>
  <c r="CS46" i="7" a="1"/>
  <c r="DE20" i="7" l="1"/>
  <c r="DO46" i="7"/>
  <c r="AD59" i="7"/>
  <c r="V33" i="7"/>
  <c r="AC46" i="7"/>
  <c r="DH59" i="7"/>
  <c r="DM20" i="7"/>
  <c r="DV46" i="7"/>
  <c r="CT46" i="7"/>
  <c r="BA33" i="7"/>
  <c r="U33" i="7"/>
  <c r="DI33" i="7"/>
  <c r="AG33" i="7"/>
  <c r="AD20" i="7"/>
  <c r="AJ59" i="7"/>
  <c r="BD20" i="7"/>
  <c r="DP33" i="7"/>
  <c r="BX20" i="7"/>
  <c r="U59" i="7"/>
  <c r="CA33" i="7"/>
  <c r="EW46" i="7"/>
  <c r="BQ20" i="7"/>
  <c r="AQ20" i="7"/>
  <c r="DK20" i="7"/>
  <c r="G59" i="7"/>
  <c r="AR20" i="7"/>
  <c r="EJ46" i="7"/>
  <c r="DX46" i="7"/>
  <c r="G20" i="7"/>
  <c r="AY20" i="7"/>
  <c r="CO20" i="7"/>
  <c r="CB33" i="7"/>
  <c r="EW33" i="7"/>
  <c r="X46" i="7"/>
  <c r="CA20" i="7"/>
  <c r="DS46" i="7"/>
  <c r="BS20" i="7"/>
  <c r="CC46" i="7"/>
  <c r="EU46" i="7"/>
  <c r="BO33" i="7"/>
  <c r="DJ46" i="7"/>
  <c r="BG20" i="7"/>
  <c r="EP59" i="7"/>
  <c r="W59" i="7"/>
  <c r="AO33" i="7"/>
  <c r="AD33" i="7"/>
  <c r="BZ33" i="7"/>
  <c r="CL33" i="7"/>
  <c r="W20" i="7"/>
  <c r="BX46" i="7"/>
  <c r="CF46" i="7"/>
  <c r="BI59" i="7"/>
  <c r="CN20" i="7"/>
  <c r="BJ33" i="7"/>
  <c r="DF59" i="7"/>
  <c r="AP33" i="7"/>
  <c r="BF59" i="7"/>
  <c r="DC20" i="7"/>
  <c r="BJ46" i="7"/>
  <c r="AQ59" i="7"/>
  <c r="BA46" i="7"/>
  <c r="AL46" i="7"/>
  <c r="CQ20" i="7"/>
  <c r="EV20" i="7"/>
  <c r="DF33" i="7"/>
  <c r="DS20" i="7"/>
  <c r="DO59" i="7"/>
  <c r="ES20" i="7"/>
  <c r="CQ33" i="7"/>
  <c r="EB59" i="7"/>
  <c r="BG33" i="7"/>
  <c r="EK20" i="7"/>
  <c r="FA33" i="7"/>
  <c r="CD59" i="7"/>
  <c r="BR46" i="7"/>
  <c r="CR46" i="7"/>
  <c r="L46" i="7"/>
  <c r="CS20" i="7"/>
  <c r="AI20" i="7"/>
  <c r="DG59" i="7"/>
  <c r="DY20" i="7"/>
  <c r="X20" i="7"/>
  <c r="EC33" i="7"/>
  <c r="CG59" i="7"/>
  <c r="U46" i="7"/>
  <c r="BB59" i="7"/>
  <c r="EB20" i="7"/>
  <c r="DB33" i="7"/>
  <c r="F20" i="7"/>
  <c r="EA46" i="7"/>
  <c r="Y59" i="7"/>
  <c r="DB46" i="7"/>
  <c r="EA33" i="7"/>
  <c r="DK33" i="7"/>
  <c r="EG33" i="7"/>
  <c r="ES59" i="7"/>
  <c r="Z33" i="7"/>
  <c r="AI46" i="7"/>
  <c r="AM46" i="7"/>
  <c r="BU59" i="7"/>
  <c r="BG46" i="7"/>
  <c r="DA20" i="7"/>
  <c r="AR33" i="7"/>
  <c r="ET59" i="7"/>
  <c r="AV59" i="7"/>
  <c r="ER33" i="7"/>
  <c r="CW20" i="7"/>
  <c r="X33" i="7"/>
  <c r="BD46" i="7"/>
  <c r="CY20" i="7"/>
  <c r="AE33" i="7"/>
  <c r="DP59" i="7"/>
  <c r="ED46" i="7"/>
  <c r="CU46" i="7"/>
  <c r="EY46" i="7"/>
  <c r="AX20" i="7"/>
  <c r="DN20" i="7"/>
  <c r="CO59" i="7"/>
  <c r="CL20" i="7"/>
  <c r="EW20" i="7"/>
  <c r="CR20" i="7"/>
  <c r="L59" i="7"/>
  <c r="BE20" i="7"/>
  <c r="AZ20" i="7"/>
  <c r="DR20" i="7"/>
  <c r="DG20" i="7"/>
  <c r="EL59" i="7"/>
  <c r="DC59" i="7"/>
  <c r="I33" i="7"/>
  <c r="CT20" i="7"/>
  <c r="DK46" i="7"/>
  <c r="AY33" i="7"/>
  <c r="BY59" i="7"/>
  <c r="S59" i="7"/>
  <c r="EC59" i="7"/>
  <c r="ER20" i="7"/>
  <c r="EI33" i="7"/>
  <c r="CY46" i="7"/>
  <c r="E20" i="7"/>
  <c r="CN59" i="7"/>
  <c r="AM20" i="7"/>
  <c r="BD33" i="7"/>
  <c r="EB33" i="7"/>
  <c r="EZ46" i="7"/>
  <c r="DA59" i="7"/>
  <c r="BJ20" i="7"/>
  <c r="EQ46" i="7"/>
  <c r="AU33" i="7"/>
  <c r="CB46" i="7"/>
  <c r="EU20" i="7"/>
  <c r="BM33" i="7"/>
  <c r="M33" i="7"/>
  <c r="EQ33" i="7"/>
  <c r="FA46" i="7"/>
  <c r="EV33" i="7"/>
  <c r="BR59" i="7"/>
  <c r="AH46" i="7"/>
  <c r="J33" i="7"/>
  <c r="AX59" i="7"/>
  <c r="DD20" i="7"/>
  <c r="CZ46" i="7"/>
  <c r="BE33" i="7"/>
  <c r="EE46" i="7"/>
  <c r="AQ33" i="7"/>
  <c r="CK33" i="7"/>
  <c r="DU59" i="7"/>
  <c r="AB46" i="7"/>
  <c r="DN59" i="7"/>
  <c r="AN59" i="7"/>
  <c r="CP59" i="7"/>
  <c r="BY20" i="7"/>
  <c r="AA46" i="7"/>
  <c r="AB59" i="7"/>
  <c r="EG46" i="7"/>
  <c r="EC46" i="7"/>
  <c r="CF33" i="7"/>
  <c r="DI20" i="7"/>
  <c r="G46" i="7"/>
  <c r="BP59" i="7"/>
  <c r="AO59" i="7"/>
  <c r="CH46" i="7"/>
  <c r="EV46" i="7"/>
  <c r="CM33" i="7"/>
  <c r="E59" i="7"/>
  <c r="AJ46" i="7"/>
  <c r="EP33" i="7"/>
  <c r="BW59" i="7"/>
  <c r="CV59" i="7"/>
  <c r="W46" i="7"/>
  <c r="AU46" i="7"/>
  <c r="EX20" i="7"/>
  <c r="BX33" i="7"/>
  <c r="EK46" i="7"/>
  <c r="DW33" i="7"/>
  <c r="AS20" i="7"/>
  <c r="J20" i="7"/>
  <c r="BK20" i="7"/>
  <c r="CW33" i="7"/>
  <c r="BL59" i="7"/>
  <c r="BI46" i="7"/>
  <c r="BI20" i="7"/>
  <c r="DF46" i="7"/>
  <c r="S46" i="7"/>
  <c r="BL20" i="7"/>
  <c r="DQ20" i="7"/>
  <c r="CZ59" i="7"/>
  <c r="CZ33" i="7"/>
  <c r="U20" i="7"/>
  <c r="AE46" i="7"/>
  <c r="BQ33" i="7"/>
  <c r="DV33" i="7"/>
  <c r="O33" i="7"/>
  <c r="DT33" i="7"/>
  <c r="CV33" i="7"/>
  <c r="DM59" i="7"/>
  <c r="CV46" i="7"/>
  <c r="DQ46" i="7"/>
  <c r="CE33" i="7"/>
  <c r="CR33" i="7"/>
  <c r="EY59" i="7"/>
  <c r="BF46" i="7"/>
  <c r="AW33" i="7"/>
  <c r="AO20" i="7"/>
  <c r="DP20" i="7"/>
  <c r="CS46" i="7"/>
  <c r="CG46" i="7"/>
  <c r="EG59" i="7"/>
  <c r="V59" i="7"/>
  <c r="AI59" i="7"/>
  <c r="CP33" i="7"/>
  <c r="V46" i="7"/>
  <c r="T20" i="7"/>
  <c r="BP33" i="7"/>
  <c r="BR20" i="7"/>
  <c r="DE46" i="7"/>
  <c r="AP46" i="7"/>
  <c r="AG59" i="7"/>
  <c r="ED33" i="7"/>
  <c r="I59" i="7"/>
  <c r="BU20" i="7"/>
  <c r="BW46" i="7"/>
  <c r="FA59" i="7"/>
  <c r="AV46" i="7"/>
  <c r="AD46" i="7"/>
  <c r="ET20" i="7"/>
  <c r="EP46" i="7"/>
  <c r="DA33" i="7"/>
  <c r="H20" i="7"/>
  <c r="BG59" i="7"/>
  <c r="AG46" i="7"/>
  <c r="EJ33" i="7"/>
  <c r="CM46" i="7"/>
  <c r="Z59" i="7"/>
  <c r="DY46" i="7"/>
  <c r="EL20" i="7"/>
  <c r="AE20" i="7"/>
  <c r="CS33" i="7"/>
  <c r="DO20" i="7"/>
  <c r="BK59" i="7"/>
  <c r="DQ59" i="7"/>
  <c r="AZ46" i="7"/>
  <c r="EI46" i="7"/>
  <c r="EI20" i="7"/>
  <c r="AV33" i="7"/>
  <c r="DG46" i="7"/>
  <c r="AZ33" i="7"/>
  <c r="CD33" i="7"/>
  <c r="AA33" i="7"/>
  <c r="ER46" i="7"/>
  <c r="AN46" i="7"/>
  <c r="EZ20" i="7"/>
  <c r="EE20" i="7"/>
  <c r="K33" i="7"/>
  <c r="CT33" i="7"/>
  <c r="BR33" i="7"/>
  <c r="CW59" i="7"/>
  <c r="BO46" i="7"/>
  <c r="DH20" i="7"/>
  <c r="BF20" i="7"/>
  <c r="CI59" i="7"/>
  <c r="EF59" i="7"/>
  <c r="AH33" i="7"/>
  <c r="DT46" i="7"/>
  <c r="AW46" i="7"/>
  <c r="I20" i="7"/>
  <c r="DI46" i="7"/>
  <c r="EH59" i="7"/>
  <c r="DN46" i="7"/>
  <c r="DT59" i="7"/>
  <c r="AL33" i="7"/>
  <c r="DB59" i="7"/>
  <c r="AG20" i="7"/>
  <c r="CH59" i="7"/>
  <c r="EO33" i="7"/>
  <c r="EJ59" i="7"/>
  <c r="DU33" i="7"/>
  <c r="AE59" i="7"/>
  <c r="O59" i="7"/>
  <c r="CO46" i="7"/>
  <c r="BC20" i="7"/>
  <c r="T59" i="7"/>
  <c r="EP20" i="7"/>
  <c r="DV59" i="7"/>
  <c r="AW20" i="7"/>
  <c r="BQ59" i="7"/>
  <c r="DS33" i="7"/>
  <c r="L20" i="7"/>
  <c r="DX33" i="7"/>
  <c r="F46" i="7"/>
  <c r="CG33" i="7"/>
  <c r="EU59" i="7"/>
  <c r="CK20" i="7"/>
  <c r="ED20" i="7"/>
  <c r="M46" i="7"/>
  <c r="EI59" i="7"/>
  <c r="CH20" i="7"/>
  <c r="EZ33" i="7"/>
  <c r="BL46" i="7"/>
  <c r="BK46" i="7"/>
  <c r="CI46" i="7"/>
  <c r="BB46" i="7"/>
  <c r="ES33" i="7"/>
  <c r="BT46" i="7"/>
  <c r="EA59" i="7"/>
  <c r="DP46" i="7"/>
  <c r="DW46" i="7"/>
  <c r="EA20" i="7"/>
  <c r="AC59" i="7"/>
  <c r="E33" i="7"/>
  <c r="BD59" i="7"/>
  <c r="BP20" i="7"/>
  <c r="BA20" i="7"/>
  <c r="P20" i="7"/>
  <c r="AP59" i="7"/>
  <c r="AZ59" i="7"/>
  <c r="EH46" i="7"/>
  <c r="DW59" i="7"/>
  <c r="CD46" i="7"/>
  <c r="AA20" i="7"/>
  <c r="AJ33" i="7"/>
  <c r="BN20" i="7"/>
  <c r="N59" i="7"/>
  <c r="BM20" i="7"/>
  <c r="BZ46" i="7"/>
  <c r="CH33" i="7"/>
  <c r="K20" i="7"/>
  <c r="CN33" i="7"/>
  <c r="EL33" i="7"/>
  <c r="BW20" i="7"/>
  <c r="EZ59" i="7"/>
  <c r="AS59" i="7"/>
  <c r="CC20" i="7"/>
  <c r="CP20" i="7"/>
  <c r="DJ59" i="7"/>
  <c r="BX59" i="7"/>
  <c r="AH59" i="7"/>
  <c r="DN33" i="7"/>
  <c r="AQ46" i="7"/>
  <c r="DI59" i="7"/>
  <c r="EH33" i="7"/>
  <c r="EF46" i="7"/>
  <c r="DO33" i="7"/>
  <c r="AU59" i="7"/>
  <c r="BU46" i="7"/>
  <c r="CC59" i="7"/>
  <c r="ET33" i="7"/>
  <c r="P46" i="7"/>
  <c r="CF20" i="7"/>
  <c r="J59" i="7"/>
  <c r="CM20" i="7"/>
  <c r="ET46" i="7"/>
  <c r="BA59" i="7"/>
  <c r="EE59" i="7"/>
  <c r="CR59" i="7"/>
  <c r="BO59" i="7"/>
  <c r="DD59" i="7"/>
  <c r="P33" i="7"/>
  <c r="AC33" i="7"/>
  <c r="BB33" i="7"/>
  <c r="CP46" i="7"/>
  <c r="W33" i="7"/>
  <c r="FA20" i="7"/>
  <c r="P59" i="7"/>
  <c r="N46" i="7"/>
  <c r="DK59" i="7"/>
  <c r="DJ20" i="7"/>
  <c r="AB33" i="7"/>
  <c r="BC59" i="7"/>
  <c r="AK59" i="7"/>
  <c r="BU33" i="7"/>
  <c r="CQ59" i="7"/>
  <c r="AK46" i="7"/>
  <c r="CM59" i="7"/>
  <c r="EJ20" i="7"/>
  <c r="CF59" i="7"/>
  <c r="DX20" i="7"/>
  <c r="S20" i="7"/>
  <c r="BM59" i="7"/>
  <c r="X59" i="7"/>
  <c r="ER59" i="7"/>
  <c r="EF33" i="7"/>
  <c r="BE46" i="7"/>
  <c r="T33" i="7"/>
  <c r="DF20" i="7"/>
  <c r="CL46" i="7"/>
  <c r="AL59" i="7"/>
  <c r="ED59" i="7"/>
  <c r="DE33" i="7"/>
  <c r="DE59" i="7"/>
  <c r="T46" i="7"/>
  <c r="BQ46" i="7"/>
  <c r="DY33" i="7"/>
  <c r="CY33" i="7"/>
  <c r="EM20" i="7"/>
  <c r="DV20" i="7"/>
  <c r="BS46" i="7"/>
  <c r="EV59" i="7"/>
  <c r="CI33" i="7"/>
  <c r="BS33" i="7"/>
  <c r="Y20" i="7"/>
  <c r="BY33" i="7"/>
  <c r="K46" i="7"/>
  <c r="AM59" i="7"/>
  <c r="AC20" i="7"/>
  <c r="EM46" i="7"/>
  <c r="EW59" i="7"/>
  <c r="DH33" i="7"/>
  <c r="F59" i="7"/>
  <c r="DR59" i="7"/>
  <c r="AP20" i="7"/>
  <c r="CA46" i="7"/>
  <c r="CA59" i="7"/>
  <c r="CK46" i="7"/>
  <c r="EX46" i="7"/>
  <c r="DJ33" i="7"/>
  <c r="AB20" i="7"/>
  <c r="EM33" i="7"/>
  <c r="BP46" i="7"/>
  <c r="AX33" i="7"/>
  <c r="BS59" i="7"/>
  <c r="BC46" i="7"/>
  <c r="DX59" i="7"/>
  <c r="EY33" i="7"/>
  <c r="Y33" i="7"/>
  <c r="BN46" i="7"/>
  <c r="DH46" i="7"/>
  <c r="EC20" i="7"/>
  <c r="DU20" i="7"/>
  <c r="EX59" i="7"/>
  <c r="DC33" i="7"/>
  <c r="EU33" i="7"/>
  <c r="CS59" i="7"/>
  <c r="AR46" i="7"/>
  <c r="DA46" i="7"/>
  <c r="DQ33" i="7"/>
  <c r="CG20" i="7"/>
  <c r="O46" i="7"/>
  <c r="CY59" i="7"/>
  <c r="H46" i="7"/>
  <c r="M20" i="7"/>
  <c r="AX46" i="7"/>
  <c r="EQ20" i="7"/>
  <c r="E46" i="7"/>
  <c r="DW20" i="7"/>
  <c r="EB46" i="7"/>
  <c r="BI33" i="7"/>
  <c r="BT20" i="7"/>
  <c r="H59" i="7"/>
  <c r="F33" i="7"/>
  <c r="AR59" i="7"/>
  <c r="AU20" i="7"/>
  <c r="CW46" i="7"/>
  <c r="CD20" i="7"/>
  <c r="AN20" i="7"/>
  <c r="CV20" i="7"/>
  <c r="EK59" i="7"/>
  <c r="AK20" i="7"/>
  <c r="CE20" i="7"/>
  <c r="AW59" i="7"/>
  <c r="H33" i="7"/>
  <c r="CI20" i="7"/>
  <c r="CB20" i="7"/>
  <c r="BN33" i="7"/>
  <c r="AS33" i="7"/>
  <c r="I46" i="7"/>
  <c r="L33" i="7"/>
  <c r="AS46" i="7"/>
  <c r="Z46" i="7"/>
  <c r="CC33" i="7"/>
  <c r="ES46" i="7"/>
  <c r="BF33" i="7"/>
  <c r="CO33" i="7"/>
  <c r="CQ46" i="7"/>
  <c r="DM33" i="7"/>
  <c r="BT59" i="7"/>
  <c r="CE46" i="7"/>
  <c r="DR33" i="7"/>
  <c r="DS59" i="7"/>
  <c r="AI33" i="7"/>
  <c r="AO46" i="7"/>
  <c r="CE59" i="7"/>
  <c r="CU33" i="7"/>
  <c r="EK33" i="7"/>
  <c r="EQ59" i="7"/>
  <c r="BW33" i="7"/>
  <c r="Z20" i="7"/>
  <c r="EE33" i="7"/>
  <c r="AY46" i="7"/>
  <c r="CU20" i="7"/>
  <c r="EO20" i="7"/>
  <c r="K59" i="7"/>
  <c r="J46" i="7"/>
  <c r="M59" i="7"/>
  <c r="Y46" i="7"/>
  <c r="BZ20" i="7"/>
  <c r="BY46" i="7"/>
  <c r="BL33" i="7"/>
  <c r="AN33" i="7"/>
  <c r="O20" i="7"/>
  <c r="AH20" i="7"/>
  <c r="AK33" i="7"/>
  <c r="EF20" i="7"/>
  <c r="BC33" i="7"/>
  <c r="AY59" i="7"/>
  <c r="CK59" i="7"/>
  <c r="CU59" i="7"/>
  <c r="BZ59" i="7"/>
  <c r="BE59" i="7"/>
  <c r="DD33" i="7"/>
  <c r="BT33" i="7"/>
  <c r="S33" i="7"/>
  <c r="AV20" i="7"/>
  <c r="AL20" i="7"/>
  <c r="AA59" i="7"/>
  <c r="DB20" i="7"/>
  <c r="BO20" i="7"/>
  <c r="CZ20" i="7"/>
  <c r="BM46" i="7"/>
  <c r="EM59" i="7"/>
  <c r="AJ20" i="7"/>
  <c r="EG20" i="7"/>
  <c r="CT59" i="7"/>
  <c r="EY20" i="7"/>
  <c r="AM33" i="7"/>
  <c r="EX33" i="7"/>
  <c r="N20" i="7"/>
  <c r="V20" i="7"/>
  <c r="BB20" i="7"/>
  <c r="EO59" i="7"/>
  <c r="N33" i="7"/>
  <c r="DR46" i="7"/>
  <c r="CB59" i="7"/>
  <c r="DG33" i="7"/>
  <c r="BK33" i="7"/>
  <c r="DU46" i="7"/>
  <c r="DC46" i="7"/>
  <c r="EL46" i="7"/>
  <c r="CL59" i="7"/>
  <c r="DY59" i="7"/>
  <c r="CN46" i="7"/>
  <c r="EH20" i="7"/>
  <c r="DT20" i="7"/>
  <c r="DD46" i="7"/>
  <c r="EO46" i="7"/>
  <c r="BJ59" i="7"/>
  <c r="DM46" i="7"/>
  <c r="G33" i="7"/>
  <c r="BN59" i="7"/>
  <c r="G14" i="8"/>
  <c r="G13" i="8"/>
  <c r="Q46" i="7"/>
  <c r="Q59" i="7"/>
  <c r="Q33" i="7"/>
  <c r="Q20" i="7"/>
  <c r="G15" i="8" a="1"/>
  <c r="G15" i="8" s="1"/>
  <c r="C16" i="8" a="1"/>
  <c r="C16" i="8" s="1"/>
  <c r="F9" i="7"/>
  <c r="G9" i="7"/>
  <c r="I9" i="7"/>
  <c r="K9" i="7"/>
  <c r="L9" i="7"/>
  <c r="D20" i="3" a="1"/>
  <c r="D19" i="3" a="1"/>
  <c r="D19" i="3" s="1"/>
  <c r="AQ35" i="8"/>
  <c r="P39" i="3"/>
  <c r="AP35" i="8" s="1"/>
  <c r="H38" i="3" a="1"/>
  <c r="H38" i="3" s="1"/>
  <c r="AP20" i="8" s="1"/>
  <c r="AJ19" i="8"/>
  <c r="D37" i="3" a="1"/>
  <c r="D37" i="3" s="1"/>
  <c r="AI19" i="8" s="1"/>
  <c r="AQ33" i="8"/>
  <c r="P37" i="3" a="1"/>
  <c r="P37" i="3" s="1"/>
  <c r="AP33" i="8" s="1"/>
  <c r="AJ20" i="8"/>
  <c r="D38" i="3" a="1"/>
  <c r="D38" i="3" s="1"/>
  <c r="AI20" i="8" s="1"/>
  <c r="AQ34" i="8"/>
  <c r="P38" i="3" a="1"/>
  <c r="P38" i="3" s="1"/>
  <c r="AP34" i="8" s="1"/>
  <c r="D12" i="3"/>
  <c r="D13" i="3" s="1"/>
  <c r="D9" i="3"/>
  <c r="H39" i="3"/>
  <c r="AP21" i="8" s="1"/>
  <c r="L39" i="3"/>
  <c r="AI35" i="8" s="1"/>
  <c r="E9" i="7"/>
  <c r="M9" i="7"/>
  <c r="O9" i="7"/>
  <c r="M35" i="7"/>
  <c r="Q9" i="7"/>
  <c r="P48" i="7"/>
  <c r="F48" i="7"/>
  <c r="K35" i="7"/>
  <c r="F22" i="7"/>
  <c r="E48" i="7"/>
  <c r="J35" i="7"/>
  <c r="E22" i="7"/>
  <c r="P9" i="7"/>
  <c r="I35" i="7"/>
  <c r="H35" i="7"/>
  <c r="G35" i="7"/>
  <c r="F35" i="7"/>
  <c r="Q22" i="7"/>
  <c r="Q48" i="7"/>
  <c r="E35" i="7"/>
  <c r="P22" i="7"/>
  <c r="O48" i="7"/>
  <c r="O22" i="7"/>
  <c r="J9" i="7"/>
  <c r="N48" i="7"/>
  <c r="N22" i="7"/>
  <c r="M48" i="7"/>
  <c r="M22" i="7"/>
  <c r="H9" i="7"/>
  <c r="L48" i="7"/>
  <c r="Q35" i="7"/>
  <c r="L22" i="7"/>
  <c r="K48" i="7"/>
  <c r="P35" i="7"/>
  <c r="K22" i="7"/>
  <c r="J48" i="7"/>
  <c r="O35" i="7"/>
  <c r="J22" i="7"/>
  <c r="I48" i="7"/>
  <c r="N35" i="7"/>
  <c r="G48" i="7"/>
  <c r="L35" i="7"/>
  <c r="G22" i="7"/>
  <c r="I22" i="7"/>
  <c r="S5" i="7"/>
  <c r="H48" i="7"/>
  <c r="H13" i="8"/>
  <c r="E13" i="8" a="1"/>
  <c r="E13" i="8" s="1"/>
  <c r="J13" i="8" a="1"/>
  <c r="J13" i="8" s="1"/>
  <c r="C17" i="8" l="1" a="1"/>
  <c r="C17" i="8" s="1"/>
  <c r="G16" i="8" a="1"/>
  <c r="G16" i="8" s="1"/>
  <c r="E20" i="3"/>
  <c r="D20" i="3"/>
  <c r="AA53" i="3" s="1" a="1"/>
  <c r="AA53" i="3" s="1"/>
  <c r="AB53" i="3" s="1" a="1"/>
  <c r="AB53" i="3" s="1"/>
  <c r="G7" i="7"/>
  <c r="G6" i="7" s="1"/>
  <c r="DC7" i="7"/>
  <c r="DC6" i="7" s="1"/>
  <c r="M7" i="7"/>
  <c r="M6" i="7" s="1"/>
  <c r="EU7" i="7"/>
  <c r="EU6" i="7" s="1"/>
  <c r="CT7" i="7"/>
  <c r="CT6" i="7" s="1"/>
  <c r="FA7" i="7"/>
  <c r="FA6" i="7" s="1"/>
  <c r="AD7" i="7"/>
  <c r="AD6" i="7" s="1"/>
  <c r="CE7" i="7"/>
  <c r="CE6" i="7" s="1"/>
  <c r="DK7" i="7"/>
  <c r="DK6" i="7" s="1"/>
  <c r="CW7" i="7"/>
  <c r="CW6" i="7" s="1"/>
  <c r="BQ7" i="7"/>
  <c r="BQ6" i="7" s="1"/>
  <c r="BX7" i="7"/>
  <c r="BX6" i="7" s="1"/>
  <c r="BY7" i="7"/>
  <c r="BY6" i="7" s="1"/>
  <c r="BB7" i="7"/>
  <c r="BB6" i="7" s="1"/>
  <c r="P7" i="7"/>
  <c r="P6" i="7" s="1"/>
  <c r="AX7" i="7"/>
  <c r="AX6" i="7" s="1"/>
  <c r="BU7" i="7"/>
  <c r="BU6" i="7" s="1"/>
  <c r="AP7" i="7"/>
  <c r="AP6" i="7" s="1"/>
  <c r="DX7" i="7"/>
  <c r="DX6" i="7" s="1"/>
  <c r="ES7" i="7"/>
  <c r="ES6" i="7" s="1"/>
  <c r="CL7" i="7"/>
  <c r="CL6" i="7" s="1"/>
  <c r="BK7" i="7"/>
  <c r="BK6" i="7" s="1"/>
  <c r="EI7" i="7"/>
  <c r="EI6" i="7" s="1"/>
  <c r="AH7" i="7"/>
  <c r="AH6" i="7" s="1"/>
  <c r="DD7" i="7"/>
  <c r="DD6" i="7" s="1"/>
  <c r="BO7" i="7"/>
  <c r="BO6" i="7" s="1"/>
  <c r="AS7" i="7"/>
  <c r="AS6" i="7" s="1"/>
  <c r="DR7" i="7"/>
  <c r="DR6" i="7" s="1"/>
  <c r="DN7" i="7"/>
  <c r="DN6" i="7" s="1"/>
  <c r="AV7" i="7"/>
  <c r="AV6" i="7" s="1"/>
  <c r="X7" i="7"/>
  <c r="X6" i="7" s="1"/>
  <c r="CP7" i="7"/>
  <c r="CP6" i="7" s="1"/>
  <c r="EA7" i="7"/>
  <c r="EA6" i="7" s="1"/>
  <c r="Z7" i="7"/>
  <c r="Z6" i="7" s="1"/>
  <c r="BM7" i="7"/>
  <c r="BM6" i="7" s="1"/>
  <c r="CC7" i="7"/>
  <c r="CC6" i="7" s="1"/>
  <c r="DA7" i="7"/>
  <c r="DA6" i="7" s="1"/>
  <c r="BD7" i="7"/>
  <c r="BD6" i="7" s="1"/>
  <c r="I7" i="7"/>
  <c r="I6" i="7" s="1"/>
  <c r="V7" i="7"/>
  <c r="V6" i="7" s="1"/>
  <c r="U48" i="7"/>
  <c r="T48" i="7"/>
  <c r="S48" i="7"/>
  <c r="AA48" i="7"/>
  <c r="AB35" i="7"/>
  <c r="W22" i="7"/>
  <c r="Z48" i="7"/>
  <c r="AA35" i="7"/>
  <c r="V22" i="7"/>
  <c r="Y48" i="7"/>
  <c r="Z35" i="7"/>
  <c r="U22" i="7"/>
  <c r="X48" i="7"/>
  <c r="Y35" i="7"/>
  <c r="T22" i="7"/>
  <c r="W48" i="7"/>
  <c r="X35" i="7"/>
  <c r="S22" i="7"/>
  <c r="V48" i="7"/>
  <c r="W35" i="7"/>
  <c r="V35" i="7"/>
  <c r="U35" i="7"/>
  <c r="AA9" i="7"/>
  <c r="T35" i="7"/>
  <c r="AE22" i="7"/>
  <c r="S35" i="7"/>
  <c r="AD22" i="7"/>
  <c r="Y9" i="7"/>
  <c r="AC22" i="7"/>
  <c r="AB22" i="7"/>
  <c r="AE48" i="7"/>
  <c r="AA22" i="7"/>
  <c r="AD48" i="7"/>
  <c r="AE35" i="7"/>
  <c r="AB48" i="7"/>
  <c r="AC35" i="7"/>
  <c r="X22" i="7"/>
  <c r="X9" i="7"/>
  <c r="AC48" i="7"/>
  <c r="Z22" i="7"/>
  <c r="W9" i="7"/>
  <c r="AG5" i="7"/>
  <c r="Y22" i="7"/>
  <c r="V9" i="7"/>
  <c r="U9" i="7"/>
  <c r="T9" i="7"/>
  <c r="S9" i="7"/>
  <c r="AD35" i="7"/>
  <c r="AE9" i="7"/>
  <c r="AD9" i="7"/>
  <c r="AC9" i="7"/>
  <c r="Z9" i="7"/>
  <c r="AB9" i="7"/>
  <c r="BT7" i="7"/>
  <c r="BT6" i="7" s="1"/>
  <c r="CR7" i="7"/>
  <c r="CR6" i="7" s="1"/>
  <c r="AG7" i="7"/>
  <c r="AG6" i="7" s="1"/>
  <c r="DE7" i="7"/>
  <c r="DE6" i="7" s="1"/>
  <c r="E7" i="7"/>
  <c r="E6" i="7" s="1"/>
  <c r="BL7" i="7"/>
  <c r="BL6" i="7" s="1"/>
  <c r="CI7" i="7"/>
  <c r="CI6" i="7" s="1"/>
  <c r="EY7" i="7"/>
  <c r="EY6" i="7" s="1"/>
  <c r="O7" i="7"/>
  <c r="O6" i="7" s="1"/>
  <c r="BW7" i="7"/>
  <c r="BW6" i="7" s="1"/>
  <c r="EL7" i="7"/>
  <c r="EL6" i="7" s="1"/>
  <c r="BN7" i="7"/>
  <c r="BN6" i="7" s="1"/>
  <c r="BC7" i="7"/>
  <c r="BC6" i="7" s="1"/>
  <c r="EJ7" i="7"/>
  <c r="EJ6" i="7" s="1"/>
  <c r="CA7" i="7"/>
  <c r="CA6" i="7" s="1"/>
  <c r="EQ7" i="7"/>
  <c r="EQ6" i="7" s="1"/>
  <c r="EW7" i="7"/>
  <c r="EW6" i="7" s="1"/>
  <c r="AZ7" i="7"/>
  <c r="AZ6" i="7" s="1"/>
  <c r="AW7" i="7"/>
  <c r="AW6" i="7" s="1"/>
  <c r="CY7" i="7"/>
  <c r="CY6" i="7" s="1"/>
  <c r="AO7" i="7"/>
  <c r="AO6" i="7" s="1"/>
  <c r="BF7" i="7"/>
  <c r="BF6" i="7" s="1"/>
  <c r="AU7" i="7"/>
  <c r="AU6" i="7" s="1"/>
  <c r="EB7" i="7"/>
  <c r="EB6" i="7" s="1"/>
  <c r="BR7" i="7"/>
  <c r="BR6" i="7" s="1"/>
  <c r="EH7" i="7"/>
  <c r="EH6" i="7" s="1"/>
  <c r="EO7" i="7"/>
  <c r="EO6" i="7" s="1"/>
  <c r="AE7" i="7"/>
  <c r="AE6" i="7" s="1"/>
  <c r="AB7" i="7"/>
  <c r="AB6" i="7" s="1"/>
  <c r="BP7" i="7"/>
  <c r="BP6" i="7" s="1"/>
  <c r="W7" i="7"/>
  <c r="W6" i="7" s="1"/>
  <c r="AK7" i="7"/>
  <c r="AK6" i="7" s="1"/>
  <c r="C92" i="3"/>
  <c r="C67" i="3"/>
  <c r="C97" i="3"/>
  <c r="C102" i="3"/>
  <c r="C107" i="3"/>
  <c r="C82" i="3"/>
  <c r="C57" i="3"/>
  <c r="C62" i="3"/>
  <c r="C52" i="3"/>
  <c r="C72" i="3"/>
  <c r="C77" i="3"/>
  <c r="C87" i="3"/>
  <c r="AL7" i="7"/>
  <c r="AL6" i="7" s="1"/>
  <c r="DS7" i="7"/>
  <c r="DS6" i="7" s="1"/>
  <c r="BJ7" i="7"/>
  <c r="BJ6" i="7" s="1"/>
  <c r="DY7" i="7"/>
  <c r="DY6" i="7" s="1"/>
  <c r="EF7" i="7"/>
  <c r="EF6" i="7" s="1"/>
  <c r="DU7" i="7"/>
  <c r="DU6" i="7" s="1"/>
  <c r="N7" i="7"/>
  <c r="N6" i="7" s="1"/>
  <c r="K7" i="7"/>
  <c r="K6" i="7" s="1"/>
  <c r="AQ7" i="7"/>
  <c r="AQ6" i="7" s="1"/>
  <c r="F7" i="7"/>
  <c r="F6" i="7" s="1"/>
  <c r="S7" i="7"/>
  <c r="S6" i="7" s="1"/>
  <c r="AC7" i="7"/>
  <c r="AC6" i="7" s="1"/>
  <c r="DJ7" i="7"/>
  <c r="DJ6" i="7" s="1"/>
  <c r="BA7" i="7"/>
  <c r="BA6" i="7" s="1"/>
  <c r="DQ7" i="7"/>
  <c r="DQ6" i="7" s="1"/>
  <c r="DW7" i="7"/>
  <c r="DW6" i="7" s="1"/>
  <c r="CM7" i="7"/>
  <c r="CM6" i="7" s="1"/>
  <c r="Y7" i="7"/>
  <c r="Y6" i="7" s="1"/>
  <c r="DV7" i="7"/>
  <c r="DV6" i="7" s="1"/>
  <c r="E14" i="8" a="1"/>
  <c r="E14" i="8" s="1"/>
  <c r="J14" i="8" a="1"/>
  <c r="J14" i="8" s="1"/>
  <c r="H14" i="8"/>
  <c r="BI7" i="7"/>
  <c r="BI6" i="7" s="1"/>
  <c r="U7" i="7"/>
  <c r="U6" i="7" s="1"/>
  <c r="DB7" i="7"/>
  <c r="DB6" i="7" s="1"/>
  <c r="AR7" i="7"/>
  <c r="AR6" i="7" s="1"/>
  <c r="DH7" i="7"/>
  <c r="DH6" i="7" s="1"/>
  <c r="DO7" i="7"/>
  <c r="DO6" i="7" s="1"/>
  <c r="EV7" i="7"/>
  <c r="EV6" i="7" s="1"/>
  <c r="BE7" i="7"/>
  <c r="BE6" i="7" s="1"/>
  <c r="DM7" i="7"/>
  <c r="DM6" i="7" s="1"/>
  <c r="EM7" i="7"/>
  <c r="EM6" i="7" s="1"/>
  <c r="H7" i="7"/>
  <c r="H6" i="7" s="1"/>
  <c r="DI7" i="7"/>
  <c r="DI6" i="7" s="1"/>
  <c r="ET7" i="7"/>
  <c r="ET6" i="7" s="1"/>
  <c r="L7" i="7"/>
  <c r="L6" i="7" s="1"/>
  <c r="CS7" i="7"/>
  <c r="CS6" i="7" s="1"/>
  <c r="AJ7" i="7"/>
  <c r="AJ6" i="7" s="1"/>
  <c r="CZ7" i="7"/>
  <c r="CZ6" i="7" s="1"/>
  <c r="EX7" i="7"/>
  <c r="EX6" i="7" s="1"/>
  <c r="DF7" i="7"/>
  <c r="DF6" i="7" s="1"/>
  <c r="AI7" i="7"/>
  <c r="AI6" i="7" s="1"/>
  <c r="CD7" i="7"/>
  <c r="CD6" i="7" s="1"/>
  <c r="AA7" i="7"/>
  <c r="AA6" i="7" s="1"/>
  <c r="ED7" i="7"/>
  <c r="ED6" i="7" s="1"/>
  <c r="CN7" i="7"/>
  <c r="CN6" i="7" s="1"/>
  <c r="EK7" i="7"/>
  <c r="EK6" i="7" s="1"/>
  <c r="CK7" i="7"/>
  <c r="CK6" i="7" s="1"/>
  <c r="CQ7" i="7"/>
  <c r="CQ6" i="7" s="1"/>
  <c r="EP7" i="7"/>
  <c r="EP6" i="7" s="1"/>
  <c r="Q7" i="7"/>
  <c r="Q6" i="7" s="1"/>
  <c r="AY7" i="7"/>
  <c r="AY6" i="7" s="1"/>
  <c r="J7" i="7"/>
  <c r="J6" i="7" s="1"/>
  <c r="CU7" i="7"/>
  <c r="CU6" i="7" s="1"/>
  <c r="BG7" i="7"/>
  <c r="BG6" i="7" s="1"/>
  <c r="EC7" i="7"/>
  <c r="EC6" i="7" s="1"/>
  <c r="CB7" i="7"/>
  <c r="CB6" i="7" s="1"/>
  <c r="EZ7" i="7"/>
  <c r="EZ6" i="7" s="1"/>
  <c r="CH7" i="7"/>
  <c r="CH6" i="7" s="1"/>
  <c r="EG7" i="7"/>
  <c r="EG6" i="7" s="1"/>
  <c r="CO7" i="7"/>
  <c r="CO6" i="7" s="1"/>
  <c r="DP7" i="7"/>
  <c r="DP6" i="7" s="1"/>
  <c r="EE7" i="7"/>
  <c r="EE6" i="7" s="1"/>
  <c r="AN7" i="7"/>
  <c r="AN6" i="7" s="1"/>
  <c r="AM7" i="7"/>
  <c r="AM6" i="7" s="1"/>
  <c r="F13" i="8"/>
  <c r="D13" i="8"/>
  <c r="I13" i="8" s="1" a="1"/>
  <c r="I13" i="8" s="1"/>
  <c r="L13" i="8" a="1"/>
  <c r="L13" i="8" s="1"/>
  <c r="K13" i="8" a="1"/>
  <c r="K13" i="8" s="1"/>
  <c r="AD13" i="8"/>
  <c r="AC13" i="8" a="1"/>
  <c r="AC13" i="8" s="1"/>
  <c r="AB13" i="8" a="1"/>
  <c r="AB13" i="8" s="1"/>
  <c r="AA13" i="8"/>
  <c r="Z13" i="8"/>
  <c r="DT7" i="7"/>
  <c r="DT6" i="7" s="1"/>
  <c r="BS7" i="7"/>
  <c r="BS6" i="7" s="1"/>
  <c r="ER7" i="7"/>
  <c r="ER6" i="7" s="1"/>
  <c r="BZ7" i="7"/>
  <c r="BZ6" i="7" s="1"/>
  <c r="CF7" i="7"/>
  <c r="CF6" i="7" s="1"/>
  <c r="CG7" i="7"/>
  <c r="CG6" i="7" s="1"/>
  <c r="DG7" i="7"/>
  <c r="DG6" i="7" s="1"/>
  <c r="CV7" i="7"/>
  <c r="CV6" i="7" s="1"/>
  <c r="T7" i="7"/>
  <c r="T6" i="7" s="1"/>
  <c r="D22" i="3" l="1"/>
  <c r="C18" i="8" a="1"/>
  <c r="C18" i="8" s="1"/>
  <c r="G17" i="8" a="1"/>
  <c r="G17" i="8" s="1"/>
  <c r="N13" i="8" a="1"/>
  <c r="N13" i="8" s="1"/>
  <c r="M13" i="8" a="1"/>
  <c r="M13" i="8" s="1"/>
  <c r="D23" i="3" a="1"/>
  <c r="D23" i="3" s="1"/>
  <c r="D21" i="3"/>
  <c r="Y11" i="8" s="1" a="1"/>
  <c r="Y11" i="8" s="1"/>
  <c r="J15" i="8" a="1"/>
  <c r="J15" i="8" s="1"/>
  <c r="H15" i="8"/>
  <c r="E15" i="8" a="1"/>
  <c r="E15" i="8" s="1"/>
  <c r="D14" i="8"/>
  <c r="I14" i="8" s="1" a="1"/>
  <c r="I14" i="8" s="1"/>
  <c r="K14" i="8" s="1" a="1"/>
  <c r="K14" i="8" s="1"/>
  <c r="F14" i="8"/>
  <c r="E77" i="3"/>
  <c r="J77" i="3" s="1" a="1"/>
  <c r="J77" i="3" s="1"/>
  <c r="E80" i="3"/>
  <c r="J80" i="3" s="1" a="1"/>
  <c r="J80" i="3" s="1"/>
  <c r="E78" i="3"/>
  <c r="J78" i="3" s="1" a="1"/>
  <c r="J78" i="3" s="1"/>
  <c r="E79" i="3"/>
  <c r="J79" i="3" s="1" a="1"/>
  <c r="J79" i="3" s="1"/>
  <c r="AH48" i="7"/>
  <c r="AL48" i="7"/>
  <c r="AK48" i="7"/>
  <c r="AJ48" i="7"/>
  <c r="AS35" i="7"/>
  <c r="AN22" i="7"/>
  <c r="AR35" i="7"/>
  <c r="AM22" i="7"/>
  <c r="AH9" i="7"/>
  <c r="AQ35" i="7"/>
  <c r="AL22" i="7"/>
  <c r="AS48" i="7"/>
  <c r="AP35" i="7"/>
  <c r="AK22" i="7"/>
  <c r="AR48" i="7"/>
  <c r="AO35" i="7"/>
  <c r="AJ22" i="7"/>
  <c r="AQ48" i="7"/>
  <c r="AN35" i="7"/>
  <c r="AI22" i="7"/>
  <c r="AP48" i="7"/>
  <c r="AM35" i="7"/>
  <c r="AH22" i="7"/>
  <c r="AO48" i="7"/>
  <c r="AL35" i="7"/>
  <c r="AG22" i="7"/>
  <c r="AR9" i="7"/>
  <c r="AN48" i="7"/>
  <c r="AK35" i="7"/>
  <c r="AM48" i="7"/>
  <c r="AJ35" i="7"/>
  <c r="AP9" i="7"/>
  <c r="AI48" i="7"/>
  <c r="AI35" i="7"/>
  <c r="AG48" i="7"/>
  <c r="AH35" i="7"/>
  <c r="AS22" i="7"/>
  <c r="AG35" i="7"/>
  <c r="AR22" i="7"/>
  <c r="AO22" i="7"/>
  <c r="AP22" i="7"/>
  <c r="AU5" i="7"/>
  <c r="AS9" i="7"/>
  <c r="AQ9" i="7"/>
  <c r="AO9" i="7"/>
  <c r="AN9" i="7"/>
  <c r="AM9" i="7"/>
  <c r="AL9" i="7"/>
  <c r="AK9" i="7"/>
  <c r="AJ9" i="7"/>
  <c r="AI9" i="7"/>
  <c r="AG9" i="7"/>
  <c r="AQ22" i="7"/>
  <c r="U13" i="8"/>
  <c r="T13" i="8"/>
  <c r="S13" i="8"/>
  <c r="R13" i="8"/>
  <c r="Q13" i="8"/>
  <c r="P13" i="8"/>
  <c r="O13" i="8"/>
  <c r="X13" i="8"/>
  <c r="W13" i="8"/>
  <c r="V13" i="8"/>
  <c r="E72" i="3"/>
  <c r="J72" i="3" s="1" a="1"/>
  <c r="J72" i="3" s="1"/>
  <c r="E75" i="3"/>
  <c r="J75" i="3" s="1" a="1"/>
  <c r="J75" i="3" s="1"/>
  <c r="E74" i="3"/>
  <c r="J74" i="3" s="1" a="1"/>
  <c r="J74" i="3" s="1"/>
  <c r="E73" i="3"/>
  <c r="J73" i="3" s="1" a="1"/>
  <c r="J73" i="3" s="1"/>
  <c r="E107" i="3"/>
  <c r="J107" i="3" s="1" a="1"/>
  <c r="J107" i="3" s="1"/>
  <c r="E108" i="3"/>
  <c r="J108" i="3" s="1" a="1"/>
  <c r="J108" i="3" s="1"/>
  <c r="E109" i="3"/>
  <c r="J109" i="3" s="1" a="1"/>
  <c r="J109" i="3" s="1"/>
  <c r="E110" i="3"/>
  <c r="J110" i="3" s="1" a="1"/>
  <c r="J110" i="3" s="1"/>
  <c r="E67" i="3"/>
  <c r="J67" i="3" s="1" a="1"/>
  <c r="J67" i="3" s="1"/>
  <c r="E68" i="3"/>
  <c r="J68" i="3" s="1" a="1"/>
  <c r="J68" i="3" s="1"/>
  <c r="E69" i="3"/>
  <c r="J69" i="3" s="1" a="1"/>
  <c r="J69" i="3" s="1"/>
  <c r="E70" i="3"/>
  <c r="J70" i="3" s="1" a="1"/>
  <c r="J70" i="3" s="1"/>
  <c r="E54" i="3"/>
  <c r="J54" i="3" s="1" a="1"/>
  <c r="J54" i="3" s="1"/>
  <c r="E55" i="3"/>
  <c r="J55" i="3" s="1" a="1"/>
  <c r="J55" i="3" s="1"/>
  <c r="E53" i="3"/>
  <c r="J53" i="3" s="1" a="1"/>
  <c r="J53" i="3" s="1"/>
  <c r="E52" i="3"/>
  <c r="J52" i="3" s="1" a="1"/>
  <c r="J52" i="3" s="1"/>
  <c r="E65" i="3"/>
  <c r="J65" i="3" s="1" a="1"/>
  <c r="J65" i="3" s="1"/>
  <c r="E64" i="3"/>
  <c r="J64" i="3" s="1" a="1"/>
  <c r="J64" i="3" s="1"/>
  <c r="E63" i="3"/>
  <c r="J63" i="3" s="1" a="1"/>
  <c r="J63" i="3" s="1"/>
  <c r="E62" i="3"/>
  <c r="J62" i="3" s="1" a="1"/>
  <c r="J62" i="3" s="1"/>
  <c r="E87" i="3"/>
  <c r="J87" i="3" s="1" a="1"/>
  <c r="J87" i="3" s="1"/>
  <c r="E90" i="3"/>
  <c r="J90" i="3" s="1" a="1"/>
  <c r="J90" i="3" s="1"/>
  <c r="E89" i="3"/>
  <c r="J89" i="3" s="1" a="1"/>
  <c r="J89" i="3" s="1"/>
  <c r="E88" i="3"/>
  <c r="J88" i="3" s="1" a="1"/>
  <c r="J88" i="3" s="1"/>
  <c r="E97" i="3"/>
  <c r="J97" i="3" s="1" a="1"/>
  <c r="J97" i="3" s="1"/>
  <c r="E98" i="3"/>
  <c r="J98" i="3" s="1" a="1"/>
  <c r="J98" i="3" s="1"/>
  <c r="E99" i="3"/>
  <c r="J99" i="3" s="1" a="1"/>
  <c r="J99" i="3" s="1"/>
  <c r="E100" i="3"/>
  <c r="J100" i="3" s="1" a="1"/>
  <c r="J100" i="3" s="1"/>
  <c r="E82" i="3"/>
  <c r="J82" i="3" s="1" a="1"/>
  <c r="J82" i="3" s="1"/>
  <c r="E83" i="3"/>
  <c r="J83" i="3" s="1" a="1"/>
  <c r="J83" i="3" s="1"/>
  <c r="E84" i="3"/>
  <c r="J84" i="3" s="1" a="1"/>
  <c r="J84" i="3" s="1"/>
  <c r="E85" i="3"/>
  <c r="J85" i="3" s="1" a="1"/>
  <c r="J85" i="3" s="1"/>
  <c r="E102" i="3"/>
  <c r="J102" i="3" s="1" a="1"/>
  <c r="J102" i="3" s="1"/>
  <c r="E103" i="3"/>
  <c r="J103" i="3" s="1" a="1"/>
  <c r="J103" i="3" s="1"/>
  <c r="E105" i="3"/>
  <c r="J105" i="3" s="1" a="1"/>
  <c r="J105" i="3" s="1"/>
  <c r="E104" i="3"/>
  <c r="J104" i="3" s="1" a="1"/>
  <c r="J104" i="3" s="1"/>
  <c r="E57" i="3"/>
  <c r="J57" i="3" s="1" a="1"/>
  <c r="J57" i="3" s="1"/>
  <c r="E59" i="3"/>
  <c r="J59" i="3" s="1" a="1"/>
  <c r="J59" i="3" s="1"/>
  <c r="E58" i="3"/>
  <c r="J58" i="3" s="1" a="1"/>
  <c r="J58" i="3" s="1"/>
  <c r="E60" i="3"/>
  <c r="J60" i="3" s="1" a="1"/>
  <c r="J60" i="3" s="1"/>
  <c r="E93" i="3"/>
  <c r="J93" i="3" s="1" a="1"/>
  <c r="J93" i="3" s="1"/>
  <c r="E94" i="3"/>
  <c r="J94" i="3" s="1" a="1"/>
  <c r="J94" i="3" s="1"/>
  <c r="E95" i="3"/>
  <c r="J95" i="3" s="1" a="1"/>
  <c r="J95" i="3" s="1"/>
  <c r="E92" i="3"/>
  <c r="J92" i="3" s="1" a="1"/>
  <c r="J92" i="3" s="1"/>
  <c r="D24" i="3" l="1"/>
  <c r="C19" i="8" a="1"/>
  <c r="C19" i="8" s="1"/>
  <c r="G18" i="8" a="1"/>
  <c r="G18" i="8" s="1"/>
  <c r="AF11" i="8" a="1"/>
  <c r="AF11" i="8" s="1"/>
  <c r="AT11" i="8"/>
  <c r="I99" i="3" a="1"/>
  <c r="I99" i="3" s="1"/>
  <c r="F99" i="3"/>
  <c r="I69" i="3" a="1"/>
  <c r="I69" i="3" s="1"/>
  <c r="F69" i="3"/>
  <c r="I72" i="3" a="1"/>
  <c r="I72" i="3" s="1"/>
  <c r="F72" i="3"/>
  <c r="I93" i="3" a="1"/>
  <c r="I93" i="3" s="1"/>
  <c r="F93" i="3"/>
  <c r="F79" i="3"/>
  <c r="I79" i="3" a="1"/>
  <c r="I79" i="3" s="1"/>
  <c r="F95" i="3"/>
  <c r="I95" i="3" a="1"/>
  <c r="I95" i="3" s="1"/>
  <c r="F102" i="3"/>
  <c r="I102" i="3" a="1"/>
  <c r="I102" i="3" s="1"/>
  <c r="I65" i="3" a="1"/>
  <c r="I65" i="3" s="1"/>
  <c r="F65" i="3"/>
  <c r="F94" i="3"/>
  <c r="I94" i="3" a="1"/>
  <c r="I94" i="3" s="1"/>
  <c r="I85" i="3" a="1"/>
  <c r="I85" i="3" s="1"/>
  <c r="F85" i="3"/>
  <c r="I52" i="3" a="1"/>
  <c r="I52" i="3" s="1"/>
  <c r="F52" i="3"/>
  <c r="I84" i="3" a="1"/>
  <c r="I84" i="3" s="1"/>
  <c r="F84" i="3"/>
  <c r="F53" i="3"/>
  <c r="I53" i="3" a="1"/>
  <c r="I53" i="3" s="1"/>
  <c r="I60" i="3" a="1"/>
  <c r="I60" i="3" s="1"/>
  <c r="F60" i="3"/>
  <c r="I83" i="3" a="1"/>
  <c r="I83" i="3" s="1"/>
  <c r="F83" i="3"/>
  <c r="F55" i="3"/>
  <c r="I55" i="3" a="1"/>
  <c r="I55" i="3" s="1"/>
  <c r="I78" i="3" a="1"/>
  <c r="I78" i="3" s="1"/>
  <c r="F78" i="3"/>
  <c r="F80" i="3"/>
  <c r="I80" i="3" a="1"/>
  <c r="I80" i="3" s="1"/>
  <c r="I58" i="3" a="1"/>
  <c r="I58" i="3" s="1"/>
  <c r="F58" i="3"/>
  <c r="F82" i="3"/>
  <c r="I82" i="3" a="1"/>
  <c r="I82" i="3" s="1"/>
  <c r="I54" i="3" a="1"/>
  <c r="I54" i="3" s="1"/>
  <c r="F54" i="3"/>
  <c r="I59" i="3" a="1"/>
  <c r="I59" i="3" s="1"/>
  <c r="F59" i="3"/>
  <c r="F100" i="3"/>
  <c r="I100" i="3" a="1"/>
  <c r="I100" i="3" s="1"/>
  <c r="F70" i="3"/>
  <c r="I70" i="3" a="1"/>
  <c r="I70" i="3" s="1"/>
  <c r="F77" i="3"/>
  <c r="I77" i="3" a="1"/>
  <c r="I77" i="3" s="1"/>
  <c r="F98" i="3"/>
  <c r="I98" i="3" a="1"/>
  <c r="I98" i="3" s="1"/>
  <c r="F67" i="3"/>
  <c r="I67" i="3" a="1"/>
  <c r="I67" i="3" s="1"/>
  <c r="I110" i="3" a="1"/>
  <c r="I110" i="3" s="1"/>
  <c r="F110" i="3"/>
  <c r="F68" i="3"/>
  <c r="I68" i="3" a="1"/>
  <c r="I68" i="3" s="1"/>
  <c r="AY48" i="7"/>
  <c r="BC48" i="7"/>
  <c r="BB48" i="7"/>
  <c r="BA48" i="7"/>
  <c r="AW48" i="7"/>
  <c r="BE22" i="7"/>
  <c r="AV48" i="7"/>
  <c r="BD22" i="7"/>
  <c r="AY9" i="7"/>
  <c r="AU48" i="7"/>
  <c r="BC22" i="7"/>
  <c r="BG35" i="7"/>
  <c r="BB22" i="7"/>
  <c r="BF35" i="7"/>
  <c r="BA22" i="7"/>
  <c r="BE35" i="7"/>
  <c r="AZ22" i="7"/>
  <c r="BD35" i="7"/>
  <c r="AY22" i="7"/>
  <c r="BC35" i="7"/>
  <c r="AX22" i="7"/>
  <c r="BB35" i="7"/>
  <c r="AW22" i="7"/>
  <c r="BA35" i="7"/>
  <c r="AV22" i="7"/>
  <c r="BG9" i="7"/>
  <c r="BG48" i="7"/>
  <c r="AZ35" i="7"/>
  <c r="AU22" i="7"/>
  <c r="BF48" i="7"/>
  <c r="AY35" i="7"/>
  <c r="BE48" i="7"/>
  <c r="AX35" i="7"/>
  <c r="BD48" i="7"/>
  <c r="AW35" i="7"/>
  <c r="AX48" i="7"/>
  <c r="AU35" i="7"/>
  <c r="BF22" i="7"/>
  <c r="AZ48" i="7"/>
  <c r="AU9" i="7"/>
  <c r="AV35" i="7"/>
  <c r="BF9" i="7"/>
  <c r="BE9" i="7"/>
  <c r="BD9" i="7"/>
  <c r="BC9" i="7"/>
  <c r="BB9" i="7"/>
  <c r="BA9" i="7"/>
  <c r="AZ9" i="7"/>
  <c r="AX9" i="7"/>
  <c r="AV9" i="7"/>
  <c r="BI5" i="7"/>
  <c r="BG22" i="7"/>
  <c r="AW9" i="7"/>
  <c r="F15" i="8"/>
  <c r="D15" i="8"/>
  <c r="I15" i="8" s="1" a="1"/>
  <c r="I15" i="8" s="1"/>
  <c r="K15" i="8" s="1" a="1"/>
  <c r="K15" i="8" s="1"/>
  <c r="F57" i="3"/>
  <c r="I57" i="3" a="1"/>
  <c r="I57" i="3" s="1"/>
  <c r="F109" i="3"/>
  <c r="I109" i="3" a="1"/>
  <c r="I109" i="3" s="1"/>
  <c r="I97" i="3" a="1"/>
  <c r="I97" i="3" s="1"/>
  <c r="F97" i="3"/>
  <c r="F89" i="3"/>
  <c r="I89" i="3" a="1"/>
  <c r="I89" i="3" s="1"/>
  <c r="F90" i="3"/>
  <c r="I90" i="3" a="1"/>
  <c r="I90" i="3" s="1"/>
  <c r="F87" i="3"/>
  <c r="I87" i="3" a="1"/>
  <c r="I87" i="3" s="1"/>
  <c r="F107" i="3"/>
  <c r="I107" i="3" a="1"/>
  <c r="I107" i="3" s="1"/>
  <c r="F104" i="3"/>
  <c r="I104" i="3" a="1"/>
  <c r="I104" i="3" s="1"/>
  <c r="I62" i="3" a="1"/>
  <c r="I62" i="3" s="1"/>
  <c r="F62" i="3"/>
  <c r="I73" i="3" a="1"/>
  <c r="I73" i="3" s="1"/>
  <c r="F73" i="3"/>
  <c r="F88" i="3"/>
  <c r="I88" i="3" a="1"/>
  <c r="I88" i="3" s="1"/>
  <c r="I74" i="3" a="1"/>
  <c r="I74" i="3" s="1"/>
  <c r="F74" i="3"/>
  <c r="E16" i="8" a="1"/>
  <c r="E16" i="8" s="1"/>
  <c r="J16" i="8" a="1"/>
  <c r="J16" i="8" s="1"/>
  <c r="H16" i="8"/>
  <c r="F108" i="3"/>
  <c r="I108" i="3" a="1"/>
  <c r="I108" i="3" s="1"/>
  <c r="F105" i="3"/>
  <c r="I105" i="3" a="1"/>
  <c r="I105" i="3" s="1"/>
  <c r="I63" i="3" a="1"/>
  <c r="I63" i="3" s="1"/>
  <c r="F63" i="3"/>
  <c r="I92" i="3" a="1"/>
  <c r="I92" i="3" s="1"/>
  <c r="F92" i="3"/>
  <c r="I103" i="3" a="1"/>
  <c r="I103" i="3" s="1"/>
  <c r="F103" i="3"/>
  <c r="I64" i="3" a="1"/>
  <c r="I64" i="3" s="1"/>
  <c r="F64" i="3"/>
  <c r="F75" i="3"/>
  <c r="I75" i="3" a="1"/>
  <c r="I75" i="3" s="1"/>
  <c r="G19" i="8" l="1" a="1"/>
  <c r="G19" i="8" s="1"/>
  <c r="C20" i="8" a="1"/>
  <c r="C20" i="8" s="1"/>
  <c r="O67" i="3"/>
  <c r="L67" i="3"/>
  <c r="F16" i="8"/>
  <c r="D16" i="8"/>
  <c r="I16" i="8" s="1" a="1"/>
  <c r="I16" i="8" s="1"/>
  <c r="K16" i="8" s="1" a="1"/>
  <c r="K16" i="8" s="1"/>
  <c r="O62" i="3"/>
  <c r="L62" i="3"/>
  <c r="O77" i="3"/>
  <c r="L77" i="3"/>
  <c r="L82" i="3"/>
  <c r="O82" i="3"/>
  <c r="L55" i="3"/>
  <c r="O55" i="3"/>
  <c r="O92" i="3"/>
  <c r="L92" i="3"/>
  <c r="O89" i="3"/>
  <c r="L89" i="3"/>
  <c r="O85" i="3"/>
  <c r="L85" i="3"/>
  <c r="O79" i="3"/>
  <c r="L79" i="3"/>
  <c r="L98" i="3"/>
  <c r="O98" i="3"/>
  <c r="L58" i="3"/>
  <c r="O58" i="3"/>
  <c r="L83" i="3"/>
  <c r="O83" i="3"/>
  <c r="O93" i="3"/>
  <c r="L93" i="3"/>
  <c r="O73" i="3"/>
  <c r="L73" i="3"/>
  <c r="O97" i="3"/>
  <c r="L97" i="3"/>
  <c r="BP48" i="7"/>
  <c r="BT48" i="7"/>
  <c r="BS48" i="7"/>
  <c r="BR48" i="7"/>
  <c r="BK35" i="7"/>
  <c r="BU48" i="7"/>
  <c r="BJ35" i="7"/>
  <c r="BU22" i="7"/>
  <c r="BP9" i="7"/>
  <c r="BQ48" i="7"/>
  <c r="BI35" i="7"/>
  <c r="BT22" i="7"/>
  <c r="BO48" i="7"/>
  <c r="BS22" i="7"/>
  <c r="BN48" i="7"/>
  <c r="BR22" i="7"/>
  <c r="BM48" i="7"/>
  <c r="BQ22" i="7"/>
  <c r="BL48" i="7"/>
  <c r="BU35" i="7"/>
  <c r="BP22" i="7"/>
  <c r="BK48" i="7"/>
  <c r="BT35" i="7"/>
  <c r="BO22" i="7"/>
  <c r="BJ9" i="7"/>
  <c r="BJ48" i="7"/>
  <c r="BS35" i="7"/>
  <c r="BN22" i="7"/>
  <c r="BI48" i="7"/>
  <c r="BR35" i="7"/>
  <c r="BM22" i="7"/>
  <c r="BQ35" i="7"/>
  <c r="BL22" i="7"/>
  <c r="BP35" i="7"/>
  <c r="BK22" i="7"/>
  <c r="BO35" i="7"/>
  <c r="BJ22" i="7"/>
  <c r="BN35" i="7"/>
  <c r="BL35" i="7"/>
  <c r="BO9" i="7"/>
  <c r="BN9" i="7"/>
  <c r="BM9" i="7"/>
  <c r="BL9" i="7"/>
  <c r="BM35" i="7"/>
  <c r="BK9" i="7"/>
  <c r="BI9" i="7"/>
  <c r="BU9" i="7"/>
  <c r="BT9" i="7"/>
  <c r="BI22" i="7"/>
  <c r="BS9" i="7"/>
  <c r="BQ9" i="7"/>
  <c r="BW5" i="7"/>
  <c r="BR9" i="7"/>
  <c r="L70" i="3"/>
  <c r="O70" i="3"/>
  <c r="O60" i="3"/>
  <c r="L60" i="3"/>
  <c r="O94" i="3"/>
  <c r="L94" i="3"/>
  <c r="O103" i="3"/>
  <c r="L103" i="3"/>
  <c r="O74" i="3"/>
  <c r="L74" i="3"/>
  <c r="O63" i="3"/>
  <c r="L63" i="3"/>
  <c r="O88" i="3"/>
  <c r="L88" i="3"/>
  <c r="O104" i="3"/>
  <c r="L104" i="3"/>
  <c r="O100" i="3"/>
  <c r="L100" i="3"/>
  <c r="L80" i="3"/>
  <c r="O80" i="3"/>
  <c r="L72" i="3"/>
  <c r="O72" i="3"/>
  <c r="O78" i="3"/>
  <c r="L78" i="3"/>
  <c r="O65" i="3"/>
  <c r="L65" i="3"/>
  <c r="O59" i="3"/>
  <c r="L59" i="3"/>
  <c r="L109" i="3"/>
  <c r="O109" i="3"/>
  <c r="O75" i="3"/>
  <c r="L75" i="3"/>
  <c r="O105" i="3"/>
  <c r="L105" i="3"/>
  <c r="L68" i="3"/>
  <c r="O68" i="3"/>
  <c r="O53" i="3"/>
  <c r="L53" i="3"/>
  <c r="O69" i="3"/>
  <c r="L69" i="3"/>
  <c r="O64" i="3"/>
  <c r="L64" i="3"/>
  <c r="O102" i="3"/>
  <c r="L102" i="3"/>
  <c r="O107" i="3"/>
  <c r="L107" i="3"/>
  <c r="L108" i="3"/>
  <c r="O108" i="3"/>
  <c r="O87" i="3"/>
  <c r="L87" i="3"/>
  <c r="L57" i="3"/>
  <c r="O57" i="3"/>
  <c r="L110" i="3"/>
  <c r="O110" i="3"/>
  <c r="L84" i="3"/>
  <c r="O84" i="3"/>
  <c r="L54" i="3"/>
  <c r="O54" i="3"/>
  <c r="O99" i="3"/>
  <c r="L99" i="3"/>
  <c r="J17" i="8" a="1"/>
  <c r="J17" i="8" s="1"/>
  <c r="H17" i="8"/>
  <c r="E17" i="8" a="1"/>
  <c r="E17" i="8" s="1"/>
  <c r="O90" i="3"/>
  <c r="L90" i="3"/>
  <c r="O52" i="3"/>
  <c r="L52" i="3"/>
  <c r="O95" i="3"/>
  <c r="L95" i="3"/>
  <c r="G20" i="8" l="1" a="1"/>
  <c r="G20" i="8" s="1"/>
  <c r="C21" i="8" a="1"/>
  <c r="C21" i="8" s="1"/>
  <c r="H18" i="8"/>
  <c r="E18" i="8" a="1"/>
  <c r="E18" i="8" s="1"/>
  <c r="J18" i="8" a="1"/>
  <c r="J18" i="8" s="1"/>
  <c r="F17" i="8"/>
  <c r="D17" i="8"/>
  <c r="I17" i="8" s="1" a="1"/>
  <c r="I17" i="8" s="1"/>
  <c r="K17" i="8" s="1" a="1"/>
  <c r="K17" i="8" s="1"/>
  <c r="CG48" i="7"/>
  <c r="CI48" i="7"/>
  <c r="BW48" i="7"/>
  <c r="CB35" i="7"/>
  <c r="BW22" i="7"/>
  <c r="CA35" i="7"/>
  <c r="CG9" i="7"/>
  <c r="BZ35" i="7"/>
  <c r="BY35" i="7"/>
  <c r="BX35" i="7"/>
  <c r="CI22" i="7"/>
  <c r="BW35" i="7"/>
  <c r="CH22" i="7"/>
  <c r="CH48" i="7"/>
  <c r="CG22" i="7"/>
  <c r="CF48" i="7"/>
  <c r="CF22" i="7"/>
  <c r="CA9" i="7"/>
  <c r="CE48" i="7"/>
  <c r="CE22" i="7"/>
  <c r="CD48" i="7"/>
  <c r="CI35" i="7"/>
  <c r="CD22" i="7"/>
  <c r="BY9" i="7"/>
  <c r="CC48" i="7"/>
  <c r="CH35" i="7"/>
  <c r="CC22" i="7"/>
  <c r="CB48" i="7"/>
  <c r="CG35" i="7"/>
  <c r="CB22" i="7"/>
  <c r="CA48" i="7"/>
  <c r="CF35" i="7"/>
  <c r="CA22" i="7"/>
  <c r="BZ48" i="7"/>
  <c r="CE35" i="7"/>
  <c r="BZ22" i="7"/>
  <c r="BX48" i="7"/>
  <c r="CC35" i="7"/>
  <c r="BX22" i="7"/>
  <c r="CI9" i="7"/>
  <c r="CH9" i="7"/>
  <c r="CD35" i="7"/>
  <c r="CF9" i="7"/>
  <c r="CE9" i="7"/>
  <c r="CD9" i="7"/>
  <c r="CC9" i="7"/>
  <c r="CB9" i="7"/>
  <c r="BZ9" i="7"/>
  <c r="BX9" i="7"/>
  <c r="BW9" i="7"/>
  <c r="BY22" i="7"/>
  <c r="CK5" i="7"/>
  <c r="BY48" i="7"/>
  <c r="K18" i="8" l="1" a="1"/>
  <c r="K18" i="8" s="1"/>
  <c r="G21" i="8" a="1"/>
  <c r="G21" i="8" s="1"/>
  <c r="C22" i="8" a="1"/>
  <c r="C22" i="8" s="1"/>
  <c r="N17" i="8" a="1"/>
  <c r="N17" i="8" s="1"/>
  <c r="M17" i="8" a="1"/>
  <c r="M17" i="8" s="1"/>
  <c r="X17" i="8"/>
  <c r="W17" i="8"/>
  <c r="V17" i="8"/>
  <c r="U17" i="8"/>
  <c r="T17" i="8"/>
  <c r="S17" i="8"/>
  <c r="R17" i="8"/>
  <c r="Q17" i="8"/>
  <c r="P17" i="8"/>
  <c r="O17" i="8"/>
  <c r="J19" i="8" a="1"/>
  <c r="J19" i="8" s="1"/>
  <c r="H19" i="8"/>
  <c r="E19" i="8" a="1"/>
  <c r="E19" i="8" s="1"/>
  <c r="K19" i="8" s="1" a="1"/>
  <c r="K19" i="8" s="1"/>
  <c r="D18" i="8"/>
  <c r="I18" i="8" s="1" a="1"/>
  <c r="I18" i="8" s="1"/>
  <c r="L18" i="8" a="1"/>
  <c r="L18" i="8" s="1"/>
  <c r="F18" i="8"/>
  <c r="AD18" i="8"/>
  <c r="AC18" i="8" a="1"/>
  <c r="AC18" i="8" s="1"/>
  <c r="AB18" i="8" a="1"/>
  <c r="AB18" i="8" s="1"/>
  <c r="AA18" i="8"/>
  <c r="Z18" i="8"/>
  <c r="Y18" i="8"/>
  <c r="CL48" i="7"/>
  <c r="CK48" i="7"/>
  <c r="CR48" i="7"/>
  <c r="CS35" i="7"/>
  <c r="CN22" i="7"/>
  <c r="CQ48" i="7"/>
  <c r="CR35" i="7"/>
  <c r="CM22" i="7"/>
  <c r="CP48" i="7"/>
  <c r="CQ35" i="7"/>
  <c r="CL22" i="7"/>
  <c r="CO48" i="7"/>
  <c r="CP35" i="7"/>
  <c r="CK22" i="7"/>
  <c r="CN48" i="7"/>
  <c r="CO35" i="7"/>
  <c r="CM48" i="7"/>
  <c r="CN35" i="7"/>
  <c r="CM35" i="7"/>
  <c r="CL35" i="7"/>
  <c r="CW22" i="7"/>
  <c r="CR9" i="7"/>
  <c r="CK35" i="7"/>
  <c r="CV22" i="7"/>
  <c r="CU22" i="7"/>
  <c r="CP9" i="7"/>
  <c r="CT22" i="7"/>
  <c r="CW48" i="7"/>
  <c r="CS22" i="7"/>
  <c r="CV48" i="7"/>
  <c r="CW35" i="7"/>
  <c r="CR22" i="7"/>
  <c r="CU48" i="7"/>
  <c r="CV35" i="7"/>
  <c r="CQ22" i="7"/>
  <c r="CS48" i="7"/>
  <c r="CT35" i="7"/>
  <c r="CO22" i="7"/>
  <c r="CK9" i="7"/>
  <c r="CU35" i="7"/>
  <c r="CW9" i="7"/>
  <c r="CV9" i="7"/>
  <c r="CU9" i="7"/>
  <c r="CT9" i="7"/>
  <c r="CS9" i="7"/>
  <c r="CP22" i="7"/>
  <c r="CQ9" i="7"/>
  <c r="CO9" i="7"/>
  <c r="CY5" i="7"/>
  <c r="CN9" i="7"/>
  <c r="CL9" i="7"/>
  <c r="CT48" i="7"/>
  <c r="CM9" i="7"/>
  <c r="C23" i="8" l="1" a="1"/>
  <c r="C23" i="8" s="1"/>
  <c r="G22" i="8" a="1"/>
  <c r="G22" i="8" s="1"/>
  <c r="N18" i="8" a="1"/>
  <c r="N18" i="8" s="1"/>
  <c r="M18" i="8" a="1"/>
  <c r="M18" i="8" s="1"/>
  <c r="F19" i="8"/>
  <c r="D19" i="8"/>
  <c r="I19" i="8" s="1" a="1"/>
  <c r="I19" i="8" s="1"/>
  <c r="L19" i="8" a="1"/>
  <c r="L19" i="8" s="1"/>
  <c r="AD19" i="8"/>
  <c r="AC19" i="8" a="1"/>
  <c r="AC19" i="8" s="1"/>
  <c r="AB19" i="8" a="1"/>
  <c r="AB19" i="8" s="1"/>
  <c r="AA19" i="8"/>
  <c r="Z19" i="8"/>
  <c r="E20" i="8" a="1"/>
  <c r="E20" i="8" s="1"/>
  <c r="J20" i="8" a="1"/>
  <c r="J20" i="8" s="1"/>
  <c r="H20" i="8"/>
  <c r="CY48" i="7"/>
  <c r="DC48" i="7"/>
  <c r="DB48" i="7"/>
  <c r="DA48" i="7"/>
  <c r="DJ35" i="7"/>
  <c r="DE22" i="7"/>
  <c r="DI35" i="7"/>
  <c r="DD22" i="7"/>
  <c r="CY9" i="7"/>
  <c r="DK48" i="7"/>
  <c r="DH35" i="7"/>
  <c r="DC22" i="7"/>
  <c r="DJ48" i="7"/>
  <c r="DG35" i="7"/>
  <c r="DB22" i="7"/>
  <c r="DI48" i="7"/>
  <c r="DF35" i="7"/>
  <c r="DA22" i="7"/>
  <c r="DH48" i="7"/>
  <c r="DE35" i="7"/>
  <c r="CZ22" i="7"/>
  <c r="DG48" i="7"/>
  <c r="DD35" i="7"/>
  <c r="CY22" i="7"/>
  <c r="DF48" i="7"/>
  <c r="DC35" i="7"/>
  <c r="DI9" i="7"/>
  <c r="DE48" i="7"/>
  <c r="DB35" i="7"/>
  <c r="DD48" i="7"/>
  <c r="DA35" i="7"/>
  <c r="DG9" i="7"/>
  <c r="CZ48" i="7"/>
  <c r="CZ35" i="7"/>
  <c r="DK22" i="7"/>
  <c r="CY35" i="7"/>
  <c r="DJ22" i="7"/>
  <c r="DI22" i="7"/>
  <c r="DH22" i="7"/>
  <c r="DK35" i="7"/>
  <c r="DF22" i="7"/>
  <c r="DE9" i="7"/>
  <c r="DD9" i="7"/>
  <c r="DC9" i="7"/>
  <c r="DB9" i="7"/>
  <c r="DA9" i="7"/>
  <c r="CZ9" i="7"/>
  <c r="DG22" i="7"/>
  <c r="DM5" i="7"/>
  <c r="DK9" i="7"/>
  <c r="DJ9" i="7"/>
  <c r="DF9" i="7"/>
  <c r="DH9" i="7"/>
  <c r="R18" i="8"/>
  <c r="O18" i="8"/>
  <c r="X18" i="8"/>
  <c r="W18" i="8"/>
  <c r="V18" i="8"/>
  <c r="U18" i="8"/>
  <c r="T18" i="8"/>
  <c r="S18" i="8"/>
  <c r="Q18" i="8"/>
  <c r="P18" i="8"/>
  <c r="G23" i="8" l="1" a="1"/>
  <c r="G23" i="8" s="1"/>
  <c r="C24" i="8" a="1"/>
  <c r="C24" i="8" s="1"/>
  <c r="N19" i="8" a="1"/>
  <c r="N19" i="8" s="1"/>
  <c r="M19" i="8" a="1"/>
  <c r="M19" i="8" s="1"/>
  <c r="DP48" i="7"/>
  <c r="DT48" i="7"/>
  <c r="DS48" i="7"/>
  <c r="DR48" i="7"/>
  <c r="DN48" i="7"/>
  <c r="DV22" i="7"/>
  <c r="DM48" i="7"/>
  <c r="DU22" i="7"/>
  <c r="DP9" i="7"/>
  <c r="DY35" i="7"/>
  <c r="DT22" i="7"/>
  <c r="DX35" i="7"/>
  <c r="DS22" i="7"/>
  <c r="DW35" i="7"/>
  <c r="DR22" i="7"/>
  <c r="DV35" i="7"/>
  <c r="DQ22" i="7"/>
  <c r="DU35" i="7"/>
  <c r="DP22" i="7"/>
  <c r="DT35" i="7"/>
  <c r="DO22" i="7"/>
  <c r="DS35" i="7"/>
  <c r="DN22" i="7"/>
  <c r="DY48" i="7"/>
  <c r="DR35" i="7"/>
  <c r="DM22" i="7"/>
  <c r="DX9" i="7"/>
  <c r="DX48" i="7"/>
  <c r="DQ35" i="7"/>
  <c r="DW48" i="7"/>
  <c r="DP35" i="7"/>
  <c r="DV48" i="7"/>
  <c r="DO35" i="7"/>
  <c r="DU48" i="7"/>
  <c r="DN35" i="7"/>
  <c r="DY22" i="7"/>
  <c r="DO48" i="7"/>
  <c r="DW22" i="7"/>
  <c r="DM35" i="7"/>
  <c r="DY9" i="7"/>
  <c r="DW9" i="7"/>
  <c r="DV9" i="7"/>
  <c r="DU9" i="7"/>
  <c r="DT9" i="7"/>
  <c r="DS9" i="7"/>
  <c r="DR9" i="7"/>
  <c r="DQ9" i="7"/>
  <c r="DX22" i="7"/>
  <c r="DO9" i="7"/>
  <c r="DN9" i="7"/>
  <c r="EA5" i="7"/>
  <c r="DM9" i="7"/>
  <c r="DQ48" i="7"/>
  <c r="J21" i="8" a="1"/>
  <c r="J21" i="8" s="1"/>
  <c r="H21" i="8"/>
  <c r="E21" i="8" a="1"/>
  <c r="E21" i="8" s="1"/>
  <c r="D20" i="8"/>
  <c r="I20" i="8" s="1" a="1"/>
  <c r="I20" i="8" s="1"/>
  <c r="K20" i="8" s="1" a="1"/>
  <c r="K20" i="8" s="1"/>
  <c r="F20" i="8"/>
  <c r="W19" i="8"/>
  <c r="X19" i="8"/>
  <c r="V19" i="8"/>
  <c r="U19" i="8"/>
  <c r="T19" i="8"/>
  <c r="S19" i="8"/>
  <c r="R19" i="8"/>
  <c r="Q19" i="8"/>
  <c r="P19" i="8"/>
  <c r="O19" i="8"/>
  <c r="C25" i="8" l="1" a="1"/>
  <c r="C25" i="8" s="1"/>
  <c r="G24" i="8" a="1"/>
  <c r="G24" i="8" s="1"/>
  <c r="J22" i="8" a="1"/>
  <c r="J22" i="8" s="1"/>
  <c r="E22" i="8" a="1"/>
  <c r="E22" i="8" s="1"/>
  <c r="H22" i="8"/>
  <c r="EG48" i="7"/>
  <c r="EK48" i="7"/>
  <c r="EJ48" i="7"/>
  <c r="EI48" i="7"/>
  <c r="EM48" i="7"/>
  <c r="EB35" i="7"/>
  <c r="EM22" i="7"/>
  <c r="EL48" i="7"/>
  <c r="EA35" i="7"/>
  <c r="EL22" i="7"/>
  <c r="EG9" i="7"/>
  <c r="EH48" i="7"/>
  <c r="EK22" i="7"/>
  <c r="EF48" i="7"/>
  <c r="EJ22" i="7"/>
  <c r="EE48" i="7"/>
  <c r="EI22" i="7"/>
  <c r="ED48" i="7"/>
  <c r="EM35" i="7"/>
  <c r="EH22" i="7"/>
  <c r="EC48" i="7"/>
  <c r="EL35" i="7"/>
  <c r="EG22" i="7"/>
  <c r="EB48" i="7"/>
  <c r="EK35" i="7"/>
  <c r="EF22" i="7"/>
  <c r="EA9" i="7"/>
  <c r="EA48" i="7"/>
  <c r="EJ35" i="7"/>
  <c r="EE22" i="7"/>
  <c r="EI35" i="7"/>
  <c r="ED22" i="7"/>
  <c r="EH35" i="7"/>
  <c r="EC22" i="7"/>
  <c r="EG35" i="7"/>
  <c r="EB22" i="7"/>
  <c r="EF35" i="7"/>
  <c r="EA22" i="7"/>
  <c r="EE35" i="7"/>
  <c r="EC35" i="7"/>
  <c r="ED35" i="7"/>
  <c r="EB9" i="7"/>
  <c r="EM9" i="7"/>
  <c r="EL9" i="7"/>
  <c r="EK9" i="7"/>
  <c r="EJ9" i="7"/>
  <c r="EO5" i="7"/>
  <c r="EI9" i="7"/>
  <c r="EH9" i="7"/>
  <c r="EF9" i="7"/>
  <c r="EE9" i="7"/>
  <c r="EC9" i="7"/>
  <c r="ED9" i="7"/>
  <c r="F21" i="8"/>
  <c r="D21" i="8"/>
  <c r="I21" i="8" s="1" a="1"/>
  <c r="I21" i="8" s="1"/>
  <c r="K21" i="8" s="1" a="1"/>
  <c r="K21" i="8" s="1"/>
  <c r="G25" i="8" l="1" a="1"/>
  <c r="G25" i="8" s="1"/>
  <c r="C26" i="8" a="1"/>
  <c r="C26" i="8" s="1"/>
  <c r="J23" i="8" a="1"/>
  <c r="J23" i="8" s="1"/>
  <c r="E23" i="8" a="1"/>
  <c r="E23" i="8" s="1"/>
  <c r="H23" i="8"/>
  <c r="F22" i="8"/>
  <c r="D22" i="8"/>
  <c r="I22" i="8" s="1" a="1"/>
  <c r="I22" i="8" s="1"/>
  <c r="K22" i="8" s="1" a="1"/>
  <c r="K22" i="8" s="1"/>
  <c r="L22" i="8" a="1"/>
  <c r="L22" i="8" s="1"/>
  <c r="EX48" i="7"/>
  <c r="FA48" i="7"/>
  <c r="EZ48" i="7"/>
  <c r="EY48" i="7"/>
  <c r="ES35" i="7"/>
  <c r="ER35" i="7"/>
  <c r="EX9" i="7"/>
  <c r="EQ35" i="7"/>
  <c r="EP35" i="7"/>
  <c r="FA22" i="7"/>
  <c r="EO35" i="7"/>
  <c r="EZ22" i="7"/>
  <c r="EY22" i="7"/>
  <c r="EX22" i="7"/>
  <c r="EW48" i="7"/>
  <c r="EW22" i="7"/>
  <c r="ER9" i="7"/>
  <c r="EV48" i="7"/>
  <c r="FA35" i="7"/>
  <c r="EV22" i="7"/>
  <c r="EU48" i="7"/>
  <c r="EZ35" i="7"/>
  <c r="EU22" i="7"/>
  <c r="EP9" i="7"/>
  <c r="ET48" i="7"/>
  <c r="EY35" i="7"/>
  <c r="ET22" i="7"/>
  <c r="ES48" i="7"/>
  <c r="EX35" i="7"/>
  <c r="ES22" i="7"/>
  <c r="ER48" i="7"/>
  <c r="EW35" i="7"/>
  <c r="ER22" i="7"/>
  <c r="EQ48" i="7"/>
  <c r="EV35" i="7"/>
  <c r="EQ22" i="7"/>
  <c r="EO48" i="7"/>
  <c r="ET35" i="7"/>
  <c r="EO22" i="7"/>
  <c r="EV9" i="7"/>
  <c r="EU9" i="7"/>
  <c r="ET9" i="7"/>
  <c r="ES9" i="7"/>
  <c r="EQ9" i="7"/>
  <c r="EO9" i="7"/>
  <c r="EP22" i="7"/>
  <c r="EP48" i="7"/>
  <c r="FA9" i="7"/>
  <c r="EZ9" i="7"/>
  <c r="EU35" i="7"/>
  <c r="EW9" i="7"/>
  <c r="EY9" i="7"/>
  <c r="C27" i="8" l="1" a="1"/>
  <c r="C27" i="8" s="1"/>
  <c r="G26" i="8" a="1"/>
  <c r="G26" i="8" s="1"/>
  <c r="L21" i="8" a="1"/>
  <c r="L21" i="8" s="1"/>
  <c r="L14" i="8" a="1"/>
  <c r="L14" i="8" s="1"/>
  <c r="K89" i="3"/>
  <c r="K100" i="3"/>
  <c r="K90" i="3"/>
  <c r="K63" i="3"/>
  <c r="K93" i="3"/>
  <c r="K105" i="3"/>
  <c r="K78" i="3"/>
  <c r="K58" i="3"/>
  <c r="K77" i="3"/>
  <c r="K55" i="3"/>
  <c r="K53" i="3"/>
  <c r="K60" i="3"/>
  <c r="K98" i="3"/>
  <c r="K110" i="3"/>
  <c r="K70" i="3"/>
  <c r="K92" i="3"/>
  <c r="K59" i="3"/>
  <c r="K103" i="3"/>
  <c r="K104" i="3"/>
  <c r="K73" i="3"/>
  <c r="K69" i="3"/>
  <c r="K74" i="3"/>
  <c r="K94" i="3"/>
  <c r="K72" i="3"/>
  <c r="K52" i="3"/>
  <c r="K64" i="3"/>
  <c r="K99" i="3"/>
  <c r="K102" i="3"/>
  <c r="K109" i="3"/>
  <c r="K82" i="3"/>
  <c r="K54" i="3"/>
  <c r="K97" i="3"/>
  <c r="K88" i="3"/>
  <c r="K84" i="3"/>
  <c r="K95" i="3"/>
  <c r="K67" i="3"/>
  <c r="K83" i="3"/>
  <c r="K57" i="3"/>
  <c r="K85" i="3"/>
  <c r="K62" i="3"/>
  <c r="K79" i="3"/>
  <c r="K68" i="3"/>
  <c r="K65" i="3"/>
  <c r="K87" i="3"/>
  <c r="L15" i="8" a="1"/>
  <c r="L15" i="8" s="1"/>
  <c r="K107" i="3"/>
  <c r="K75" i="3"/>
  <c r="K108" i="3"/>
  <c r="K80" i="3"/>
  <c r="L16" i="8" a="1"/>
  <c r="L16" i="8" s="1"/>
  <c r="H24" i="8"/>
  <c r="J24" i="8" a="1"/>
  <c r="J24" i="8" s="1"/>
  <c r="E24" i="8" a="1"/>
  <c r="E24" i="8" s="1"/>
  <c r="D23" i="8"/>
  <c r="I23" i="8" s="1" a="1"/>
  <c r="I23" i="8" s="1"/>
  <c r="K23" i="8" s="1" a="1"/>
  <c r="K23" i="8" s="1"/>
  <c r="L23" i="8" a="1"/>
  <c r="L23" i="8" s="1"/>
  <c r="F23" i="8"/>
  <c r="L17" i="8" a="1"/>
  <c r="L17" i="8" s="1"/>
  <c r="L20" i="8" a="1"/>
  <c r="L20" i="8" s="1"/>
  <c r="G27" i="8" l="1" a="1"/>
  <c r="G27" i="8" s="1"/>
  <c r="C28" i="8" a="1"/>
  <c r="C28" i="8" s="1"/>
  <c r="P107" i="3"/>
  <c r="N107" i="3"/>
  <c r="M107" i="3"/>
  <c r="Q107" i="3"/>
  <c r="Q82" i="3"/>
  <c r="P82" i="3"/>
  <c r="M82" i="3"/>
  <c r="N82" i="3"/>
  <c r="M110" i="3"/>
  <c r="N110" i="3"/>
  <c r="Q110" i="3"/>
  <c r="P110" i="3"/>
  <c r="M87" i="3"/>
  <c r="P87" i="3"/>
  <c r="Q87" i="3"/>
  <c r="N87" i="3"/>
  <c r="P60" i="3"/>
  <c r="N60" i="3"/>
  <c r="Q60" i="3"/>
  <c r="M60" i="3"/>
  <c r="N99" i="3"/>
  <c r="M99" i="3"/>
  <c r="P99" i="3"/>
  <c r="Q99" i="3"/>
  <c r="Q53" i="3"/>
  <c r="P53" i="3"/>
  <c r="N53" i="3"/>
  <c r="M53" i="3"/>
  <c r="P68" i="3"/>
  <c r="M68" i="3"/>
  <c r="Q68" i="3"/>
  <c r="N68" i="3"/>
  <c r="Q64" i="3"/>
  <c r="P64" i="3"/>
  <c r="M64" i="3"/>
  <c r="N64" i="3"/>
  <c r="Q55" i="3"/>
  <c r="N55" i="3"/>
  <c r="P55" i="3"/>
  <c r="M55" i="3"/>
  <c r="N79" i="3"/>
  <c r="M79" i="3"/>
  <c r="Q79" i="3"/>
  <c r="P79" i="3"/>
  <c r="M52" i="3"/>
  <c r="P52" i="3"/>
  <c r="Q52" i="3"/>
  <c r="N52" i="3"/>
  <c r="P77" i="3"/>
  <c r="N77" i="3"/>
  <c r="M77" i="3"/>
  <c r="Q77" i="3"/>
  <c r="Q62" i="3"/>
  <c r="P62" i="3"/>
  <c r="N62" i="3"/>
  <c r="M62" i="3"/>
  <c r="N72" i="3"/>
  <c r="Q72" i="3"/>
  <c r="P72" i="3"/>
  <c r="M72" i="3"/>
  <c r="Q58" i="3"/>
  <c r="P58" i="3"/>
  <c r="N58" i="3"/>
  <c r="M58" i="3"/>
  <c r="N85" i="3"/>
  <c r="M85" i="3"/>
  <c r="P85" i="3"/>
  <c r="Q85" i="3"/>
  <c r="Q94" i="3"/>
  <c r="P94" i="3"/>
  <c r="N94" i="3"/>
  <c r="M94" i="3"/>
  <c r="Q78" i="3"/>
  <c r="P78" i="3"/>
  <c r="N78" i="3"/>
  <c r="M78" i="3"/>
  <c r="M57" i="3"/>
  <c r="Q57" i="3"/>
  <c r="N57" i="3"/>
  <c r="P57" i="3"/>
  <c r="N74" i="3"/>
  <c r="M74" i="3"/>
  <c r="P74" i="3"/>
  <c r="Q74" i="3"/>
  <c r="Q105" i="3"/>
  <c r="P105" i="3"/>
  <c r="N105" i="3"/>
  <c r="M105" i="3"/>
  <c r="M109" i="3"/>
  <c r="Q109" i="3"/>
  <c r="P109" i="3"/>
  <c r="N109" i="3"/>
  <c r="M83" i="3"/>
  <c r="Q83" i="3"/>
  <c r="N83" i="3"/>
  <c r="P83" i="3"/>
  <c r="Q69" i="3"/>
  <c r="P69" i="3"/>
  <c r="N69" i="3"/>
  <c r="M69" i="3"/>
  <c r="Q93" i="3"/>
  <c r="P93" i="3"/>
  <c r="N93" i="3"/>
  <c r="M93" i="3"/>
  <c r="Q67" i="3"/>
  <c r="P67" i="3"/>
  <c r="M67" i="3"/>
  <c r="N67" i="3"/>
  <c r="Q73" i="3"/>
  <c r="N73" i="3"/>
  <c r="M73" i="3"/>
  <c r="P73" i="3"/>
  <c r="Q63" i="3"/>
  <c r="P63" i="3"/>
  <c r="N63" i="3"/>
  <c r="M63" i="3"/>
  <c r="E25" i="8" a="1"/>
  <c r="E25" i="8" s="1"/>
  <c r="J25" i="8" a="1"/>
  <c r="J25" i="8" s="1"/>
  <c r="H25" i="8"/>
  <c r="P95" i="3"/>
  <c r="Q95" i="3"/>
  <c r="N95" i="3"/>
  <c r="M95" i="3"/>
  <c r="Q104" i="3"/>
  <c r="P104" i="3"/>
  <c r="N104" i="3"/>
  <c r="M104" i="3"/>
  <c r="M90" i="3"/>
  <c r="N90" i="3"/>
  <c r="Q90" i="3"/>
  <c r="P90" i="3"/>
  <c r="Q98" i="3"/>
  <c r="P98" i="3"/>
  <c r="N98" i="3"/>
  <c r="M98" i="3"/>
  <c r="N84" i="3"/>
  <c r="Q84" i="3"/>
  <c r="M84" i="3"/>
  <c r="P84" i="3"/>
  <c r="N103" i="3"/>
  <c r="M103" i="3"/>
  <c r="Q103" i="3"/>
  <c r="P103" i="3"/>
  <c r="P100" i="3"/>
  <c r="N100" i="3"/>
  <c r="M100" i="3"/>
  <c r="Q100" i="3"/>
  <c r="N102" i="3"/>
  <c r="P102" i="3"/>
  <c r="M102" i="3"/>
  <c r="Q102" i="3"/>
  <c r="Q80" i="3"/>
  <c r="P80" i="3"/>
  <c r="M80" i="3"/>
  <c r="N80" i="3"/>
  <c r="P88" i="3"/>
  <c r="M88" i="3"/>
  <c r="N88" i="3"/>
  <c r="Q88" i="3"/>
  <c r="N59" i="3"/>
  <c r="M59" i="3"/>
  <c r="P59" i="3"/>
  <c r="Q59" i="3"/>
  <c r="N89" i="3"/>
  <c r="M89" i="3"/>
  <c r="Q89" i="3"/>
  <c r="P89" i="3"/>
  <c r="F24" i="8"/>
  <c r="L24" i="8" a="1"/>
  <c r="L24" i="8" s="1"/>
  <c r="D24" i="8"/>
  <c r="I24" i="8" s="1" a="1"/>
  <c r="I24" i="8" s="1"/>
  <c r="K24" i="8" s="1" a="1"/>
  <c r="K24" i="8" s="1"/>
  <c r="Q108" i="3"/>
  <c r="P108" i="3"/>
  <c r="M108" i="3"/>
  <c r="N108" i="3"/>
  <c r="M97" i="3"/>
  <c r="N97" i="3"/>
  <c r="Q97" i="3"/>
  <c r="P97" i="3"/>
  <c r="Q92" i="3"/>
  <c r="P92" i="3"/>
  <c r="N92" i="3"/>
  <c r="M92" i="3"/>
  <c r="Q65" i="3"/>
  <c r="P65" i="3"/>
  <c r="M65" i="3"/>
  <c r="N65" i="3"/>
  <c r="N75" i="3"/>
  <c r="M75" i="3"/>
  <c r="Q75" i="3"/>
  <c r="P75" i="3"/>
  <c r="M54" i="3"/>
  <c r="P54" i="3"/>
  <c r="N54" i="3"/>
  <c r="Q54" i="3"/>
  <c r="P70" i="3"/>
  <c r="M70" i="3"/>
  <c r="Q70" i="3"/>
  <c r="N70" i="3"/>
  <c r="K25" i="8" l="1" a="1"/>
  <c r="K25" i="8" s="1"/>
  <c r="G28" i="8" a="1"/>
  <c r="G28" i="8" s="1"/>
  <c r="C29" i="8" a="1"/>
  <c r="C29" i="8" s="1"/>
  <c r="N24" i="8" a="1"/>
  <c r="N24" i="8" s="1"/>
  <c r="M24" i="8" a="1"/>
  <c r="M24" i="8" s="1"/>
  <c r="AB25" i="8" a="1"/>
  <c r="AB25" i="8" s="1"/>
  <c r="AA25" i="8"/>
  <c r="Z25" i="8"/>
  <c r="AD25" i="8"/>
  <c r="AC25" i="8" a="1"/>
  <c r="AC25" i="8" s="1"/>
  <c r="Y25" i="8"/>
  <c r="J26" i="8" a="1"/>
  <c r="J26" i="8" s="1"/>
  <c r="H26" i="8"/>
  <c r="E26" i="8" a="1"/>
  <c r="E26" i="8" s="1"/>
  <c r="K26" i="8" s="1" a="1"/>
  <c r="K26" i="8" s="1"/>
  <c r="D25" i="8"/>
  <c r="I25" i="8" s="1" a="1"/>
  <c r="I25" i="8" s="1"/>
  <c r="L25" i="8" a="1"/>
  <c r="L25" i="8" s="1"/>
  <c r="F25" i="8"/>
  <c r="U24" i="8"/>
  <c r="T24" i="8"/>
  <c r="S24" i="8"/>
  <c r="R24" i="8"/>
  <c r="Q24" i="8"/>
  <c r="O24" i="8"/>
  <c r="X24" i="8"/>
  <c r="W24" i="8"/>
  <c r="V24" i="8"/>
  <c r="P24" i="8"/>
  <c r="G29" i="8" l="1" a="1"/>
  <c r="G29" i="8" s="1"/>
  <c r="C30" i="8" a="1"/>
  <c r="C30" i="8" s="1"/>
  <c r="N25" i="8" a="1"/>
  <c r="N25" i="8" s="1"/>
  <c r="M25" i="8" a="1"/>
  <c r="M25" i="8" s="1"/>
  <c r="E27" i="8" a="1"/>
  <c r="E27" i="8" s="1"/>
  <c r="J27" i="8" a="1"/>
  <c r="J27" i="8" s="1"/>
  <c r="H27" i="8"/>
  <c r="L26" i="8" a="1"/>
  <c r="L26" i="8" s="1"/>
  <c r="F26" i="8"/>
  <c r="D26" i="8"/>
  <c r="I26" i="8" s="1" a="1"/>
  <c r="I26" i="8" s="1"/>
  <c r="AD26" i="8"/>
  <c r="AC26" i="8" a="1"/>
  <c r="AC26" i="8" s="1"/>
  <c r="AB26" i="8" a="1"/>
  <c r="AB26" i="8" s="1"/>
  <c r="AA26" i="8"/>
  <c r="Z26" i="8"/>
  <c r="X25" i="8"/>
  <c r="V25" i="8"/>
  <c r="U25" i="8"/>
  <c r="T25" i="8"/>
  <c r="S25" i="8"/>
  <c r="R25" i="8"/>
  <c r="Q25" i="8"/>
  <c r="P25" i="8"/>
  <c r="O25" i="8"/>
  <c r="W25" i="8"/>
  <c r="C31" i="8" l="1" a="1"/>
  <c r="C31" i="8" s="1"/>
  <c r="G30" i="8" a="1"/>
  <c r="G30" i="8" s="1"/>
  <c r="N26" i="8" a="1"/>
  <c r="N26" i="8" s="1"/>
  <c r="M26" i="8" a="1"/>
  <c r="M26" i="8" s="1"/>
  <c r="W26" i="8"/>
  <c r="V26" i="8"/>
  <c r="U26" i="8"/>
  <c r="T26" i="8"/>
  <c r="S26" i="8"/>
  <c r="Q26" i="8"/>
  <c r="X26" i="8"/>
  <c r="R26" i="8"/>
  <c r="P26" i="8"/>
  <c r="O26" i="8"/>
  <c r="J28" i="8" a="1"/>
  <c r="J28" i="8" s="1"/>
  <c r="H28" i="8"/>
  <c r="E28" i="8" a="1"/>
  <c r="E28" i="8" s="1"/>
  <c r="F27" i="8"/>
  <c r="D27" i="8"/>
  <c r="I27" i="8" s="1" a="1"/>
  <c r="I27" i="8" s="1"/>
  <c r="K27" i="8" s="1" a="1"/>
  <c r="K27" i="8" s="1"/>
  <c r="L27" i="8" a="1"/>
  <c r="L27" i="8" s="1"/>
  <c r="G31" i="8" l="1" a="1"/>
  <c r="G31" i="8" s="1"/>
  <c r="C32" i="8" a="1"/>
  <c r="C32" i="8" s="1"/>
  <c r="H29" i="8"/>
  <c r="E29" i="8" a="1"/>
  <c r="E29" i="8" s="1"/>
  <c r="J29" i="8" a="1"/>
  <c r="J29" i="8" s="1"/>
  <c r="L28" i="8" a="1"/>
  <c r="L28" i="8" s="1"/>
  <c r="F28" i="8"/>
  <c r="D28" i="8"/>
  <c r="I28" i="8" s="1" a="1"/>
  <c r="I28" i="8" s="1"/>
  <c r="K28" i="8" s="1" a="1"/>
  <c r="K28" i="8" s="1"/>
  <c r="C33" i="8" l="1" a="1"/>
  <c r="C33" i="8" s="1"/>
  <c r="G32" i="8" a="1"/>
  <c r="G32" i="8" s="1"/>
  <c r="E30" i="8" a="1"/>
  <c r="E30" i="8" s="1"/>
  <c r="J30" i="8" a="1"/>
  <c r="J30" i="8" s="1"/>
  <c r="H30" i="8"/>
  <c r="F29" i="8"/>
  <c r="D29" i="8"/>
  <c r="I29" i="8" s="1" a="1"/>
  <c r="I29" i="8" s="1"/>
  <c r="K29" i="8" s="1" a="1"/>
  <c r="K29" i="8" s="1"/>
  <c r="L29" i="8" a="1"/>
  <c r="L29" i="8" s="1"/>
  <c r="C34" i="8" l="1" a="1"/>
  <c r="C34" i="8" s="1"/>
  <c r="G33" i="8" a="1"/>
  <c r="G33" i="8" s="1"/>
  <c r="J31" i="8" a="1"/>
  <c r="J31" i="8" s="1"/>
  <c r="E31" i="8" a="1"/>
  <c r="E31" i="8" s="1"/>
  <c r="H31" i="8"/>
  <c r="F30" i="8"/>
  <c r="D30" i="8"/>
  <c r="I30" i="8" s="1" a="1"/>
  <c r="I30" i="8" s="1"/>
  <c r="K30" i="8" s="1" a="1"/>
  <c r="K30" i="8" s="1"/>
  <c r="L30" i="8" a="1"/>
  <c r="L30" i="8" s="1"/>
  <c r="M23" i="8" l="1" a="1"/>
  <c r="M23" i="8" s="1"/>
  <c r="C35" i="8" a="1"/>
  <c r="C35" i="8" s="1"/>
  <c r="G34" i="8" a="1"/>
  <c r="G34" i="8" s="1"/>
  <c r="M30" i="8" a="1"/>
  <c r="M30" i="8" s="1"/>
  <c r="F31" i="8"/>
  <c r="D31" i="8"/>
  <c r="I31" i="8" s="1" a="1"/>
  <c r="I31" i="8" s="1"/>
  <c r="K31" i="8" s="1" a="1"/>
  <c r="K31" i="8" s="1"/>
  <c r="L31" i="8" a="1"/>
  <c r="L31" i="8" s="1"/>
  <c r="J32" i="8" a="1"/>
  <c r="J32" i="8" s="1"/>
  <c r="H32" i="8"/>
  <c r="E32" i="8" a="1"/>
  <c r="E32" i="8" s="1"/>
  <c r="M29" i="8" l="1" a="1"/>
  <c r="M29" i="8" s="1"/>
  <c r="M27" i="8" a="1"/>
  <c r="M27" i="8" s="1"/>
  <c r="M28" i="8" a="1"/>
  <c r="M28" i="8" s="1"/>
  <c r="G35" i="8" a="1"/>
  <c r="G35" i="8" s="1"/>
  <c r="C36" i="8" a="1"/>
  <c r="C36" i="8" s="1"/>
  <c r="M31" i="8" a="1"/>
  <c r="M31" i="8" s="1"/>
  <c r="L32" i="8" a="1"/>
  <c r="L32" i="8" s="1"/>
  <c r="F32" i="8"/>
  <c r="D32" i="8"/>
  <c r="I32" i="8" s="1" a="1"/>
  <c r="I32" i="8" s="1"/>
  <c r="K32" i="8" s="1" a="1"/>
  <c r="K32" i="8" s="1"/>
  <c r="E33" i="8" a="1"/>
  <c r="E33" i="8" s="1"/>
  <c r="J33" i="8" a="1"/>
  <c r="J33" i="8" s="1"/>
  <c r="H33" i="8"/>
  <c r="K33" i="8" l="1" a="1"/>
  <c r="K33" i="8" s="1"/>
  <c r="N30" i="8" a="1"/>
  <c r="N30" i="8" s="1"/>
  <c r="N27" i="8" a="1"/>
  <c r="N27" i="8" s="1"/>
  <c r="C37" i="8" a="1"/>
  <c r="C37" i="8" s="1"/>
  <c r="N31" i="8" s="1" a="1"/>
  <c r="N31" i="8" s="1"/>
  <c r="G36" i="8" a="1"/>
  <c r="G36" i="8" s="1"/>
  <c r="N32" i="8" a="1"/>
  <c r="N32" i="8" s="1"/>
  <c r="M32" i="8" a="1"/>
  <c r="M32" i="8" s="1"/>
  <c r="AD33" i="8"/>
  <c r="AC33" i="8" a="1"/>
  <c r="AC33" i="8" s="1"/>
  <c r="AB33" i="8" a="1"/>
  <c r="AB33" i="8" s="1"/>
  <c r="AA33" i="8"/>
  <c r="Z33" i="8"/>
  <c r="Y33" i="8"/>
  <c r="F33" i="8"/>
  <c r="L33" i="8" a="1"/>
  <c r="L33" i="8" s="1"/>
  <c r="D33" i="8"/>
  <c r="I33" i="8" s="1" a="1"/>
  <c r="I33" i="8" s="1"/>
  <c r="H34" i="8"/>
  <c r="E34" i="8" a="1"/>
  <c r="E34" i="8" s="1"/>
  <c r="K34" i="8" s="1" a="1"/>
  <c r="K34" i="8" s="1"/>
  <c r="J34" i="8" a="1"/>
  <c r="J34" i="8" s="1"/>
  <c r="X32" i="8"/>
  <c r="V32" i="8"/>
  <c r="U32" i="8"/>
  <c r="T32" i="8"/>
  <c r="Q32" i="8"/>
  <c r="P32" i="8"/>
  <c r="O32" i="8"/>
  <c r="W32" i="8"/>
  <c r="S32" i="8"/>
  <c r="R32" i="8"/>
  <c r="N29" i="8" l="1" a="1"/>
  <c r="N29" i="8" s="1"/>
  <c r="N28" i="8" a="1"/>
  <c r="N28" i="8" s="1"/>
  <c r="G37" i="8" a="1"/>
  <c r="G37" i="8" s="1"/>
  <c r="C38" i="8" a="1"/>
  <c r="C38" i="8" s="1"/>
  <c r="N33" i="8" a="1"/>
  <c r="N33" i="8" s="1"/>
  <c r="M33" i="8" a="1"/>
  <c r="M33" i="8" s="1"/>
  <c r="P33" i="8"/>
  <c r="O33" i="8"/>
  <c r="S33" i="8"/>
  <c r="R33" i="8"/>
  <c r="Q33" i="8"/>
  <c r="V33" i="8"/>
  <c r="U33" i="8"/>
  <c r="T33" i="8"/>
  <c r="X33" i="8"/>
  <c r="W33" i="8"/>
  <c r="J35" i="8" a="1"/>
  <c r="J35" i="8" s="1"/>
  <c r="H35" i="8"/>
  <c r="E35" i="8" a="1"/>
  <c r="E35" i="8" s="1"/>
  <c r="AD34" i="8"/>
  <c r="AC34" i="8" a="1"/>
  <c r="AC34" i="8" s="1"/>
  <c r="Z34" i="8"/>
  <c r="AB34" i="8" a="1"/>
  <c r="AB34" i="8" s="1"/>
  <c r="AA34" i="8"/>
  <c r="F34" i="8"/>
  <c r="D34" i="8"/>
  <c r="I34" i="8" s="1" a="1"/>
  <c r="I34" i="8" s="1"/>
  <c r="L34" i="8" a="1"/>
  <c r="L34" i="8" s="1"/>
  <c r="C39" i="8" l="1" a="1"/>
  <c r="C39" i="8" s="1"/>
  <c r="G38" i="8" a="1"/>
  <c r="G38" i="8" s="1"/>
  <c r="N34" i="8" a="1"/>
  <c r="N34" i="8" s="1"/>
  <c r="M34" i="8" a="1"/>
  <c r="M34" i="8" s="1"/>
  <c r="V29" i="8"/>
  <c r="E36" i="8" a="1"/>
  <c r="E36" i="8" s="1"/>
  <c r="J36" i="8" a="1"/>
  <c r="J36" i="8" s="1"/>
  <c r="H36" i="8"/>
  <c r="Q29" i="8"/>
  <c r="U34" i="8"/>
  <c r="T34" i="8"/>
  <c r="S34" i="8"/>
  <c r="R34" i="8"/>
  <c r="P34" i="8"/>
  <c r="O34" i="8"/>
  <c r="X34" i="8"/>
  <c r="W34" i="8"/>
  <c r="V34" i="8"/>
  <c r="Q34" i="8"/>
  <c r="V30" i="8"/>
  <c r="V31" i="8"/>
  <c r="V28" i="8"/>
  <c r="L35" i="8" a="1"/>
  <c r="L35" i="8" s="1"/>
  <c r="F35" i="8"/>
  <c r="D35" i="8"/>
  <c r="I35" i="8" s="1" a="1"/>
  <c r="I35" i="8" s="1"/>
  <c r="K35" i="8" s="1" a="1"/>
  <c r="K35" i="8" s="1"/>
  <c r="R29" i="8"/>
  <c r="G39" i="8" l="1" a="1"/>
  <c r="G39" i="8" s="1"/>
  <c r="C40" i="8" a="1"/>
  <c r="C40" i="8" s="1"/>
  <c r="N35" i="8" a="1"/>
  <c r="N35" i="8" s="1"/>
  <c r="M35" i="8" a="1"/>
  <c r="M35" i="8" s="1"/>
  <c r="F36" i="8"/>
  <c r="D36" i="8"/>
  <c r="I36" i="8" s="1" a="1"/>
  <c r="I36" i="8" s="1"/>
  <c r="K36" i="8" s="1" a="1"/>
  <c r="K36" i="8" s="1"/>
  <c r="L36" i="8" a="1"/>
  <c r="L36" i="8" s="1"/>
  <c r="O29" i="8"/>
  <c r="H37" i="8"/>
  <c r="E37" i="8" a="1"/>
  <c r="E37" i="8" s="1"/>
  <c r="J37" i="8" a="1"/>
  <c r="J37" i="8" s="1"/>
  <c r="T29" i="8"/>
  <c r="P29" i="8"/>
  <c r="T35" i="8" l="1"/>
  <c r="G40" i="8" a="1"/>
  <c r="G40" i="8" s="1"/>
  <c r="C41" i="8" a="1"/>
  <c r="C41" i="8" s="1"/>
  <c r="N36" i="8" a="1"/>
  <c r="N36" i="8" s="1"/>
  <c r="M36" i="8" a="1"/>
  <c r="M36" i="8" s="1"/>
  <c r="S29" i="8"/>
  <c r="T31" i="8"/>
  <c r="Q31" i="8"/>
  <c r="O31" i="8"/>
  <c r="J38" i="8" a="1"/>
  <c r="J38" i="8" s="1"/>
  <c r="H38" i="8"/>
  <c r="E38" i="8" a="1"/>
  <c r="E38" i="8" s="1"/>
  <c r="F37" i="8"/>
  <c r="D37" i="8"/>
  <c r="I37" i="8" s="1" a="1"/>
  <c r="I37" i="8" s="1"/>
  <c r="K37" i="8" s="1" a="1"/>
  <c r="K37" i="8" s="1"/>
  <c r="L37" i="8" a="1"/>
  <c r="L37" i="8" s="1"/>
  <c r="T30" i="8"/>
  <c r="O30" i="8"/>
  <c r="Q30" i="8"/>
  <c r="V35" i="8"/>
  <c r="O35" i="8"/>
  <c r="Q35" i="8"/>
  <c r="P31" i="8"/>
  <c r="R31" i="8"/>
  <c r="P30" i="8"/>
  <c r="R35" i="8"/>
  <c r="P35" i="8"/>
  <c r="R30" i="8"/>
  <c r="G41" i="8" l="1" a="1"/>
  <c r="G41" i="8" s="1"/>
  <c r="C42" i="8" a="1"/>
  <c r="C42" i="8" s="1"/>
  <c r="N37" i="8" a="1"/>
  <c r="N37" i="8" s="1"/>
  <c r="M37" i="8" a="1"/>
  <c r="M37" i="8" s="1"/>
  <c r="O36" i="8"/>
  <c r="S30" i="8"/>
  <c r="S35" i="8"/>
  <c r="S31" i="8"/>
  <c r="V36" i="8"/>
  <c r="D38" i="8"/>
  <c r="I38" i="8" s="1" a="1"/>
  <c r="I38" i="8" s="1"/>
  <c r="K38" i="8" s="1" a="1"/>
  <c r="K38" i="8" s="1"/>
  <c r="L38" i="8" a="1"/>
  <c r="L38" i="8" s="1"/>
  <c r="F38" i="8"/>
  <c r="J39" i="8" a="1"/>
  <c r="J39" i="8" s="1"/>
  <c r="E39" i="8" a="1"/>
  <c r="E39" i="8" s="1"/>
  <c r="K39" i="8" s="1" a="1"/>
  <c r="K39" i="8" s="1"/>
  <c r="H39" i="8"/>
  <c r="T36" i="8"/>
  <c r="Q36" i="8"/>
  <c r="R36" i="8"/>
  <c r="P36" i="8"/>
  <c r="C43" i="8" l="1" a="1"/>
  <c r="C43" i="8" s="1"/>
  <c r="G42" i="8" a="1"/>
  <c r="G42" i="8" s="1"/>
  <c r="N38" i="8" a="1"/>
  <c r="N38" i="8" s="1"/>
  <c r="M38" i="8" a="1"/>
  <c r="M38" i="8" s="1"/>
  <c r="O37" i="8"/>
  <c r="S36" i="8"/>
  <c r="Q37" i="8"/>
  <c r="T37" i="8"/>
  <c r="AD39" i="8"/>
  <c r="Y39" i="8"/>
  <c r="Z39" i="8"/>
  <c r="AC39" i="8" a="1"/>
  <c r="AC39" i="8" s="1"/>
  <c r="AB39" i="8" a="1"/>
  <c r="AB39" i="8" s="1"/>
  <c r="AA39" i="8"/>
  <c r="V37" i="8"/>
  <c r="D39" i="8"/>
  <c r="I39" i="8" s="1" a="1"/>
  <c r="I39" i="8" s="1"/>
  <c r="L39" i="8" a="1"/>
  <c r="L39" i="8" s="1"/>
  <c r="F39" i="8"/>
  <c r="E40" i="8" a="1"/>
  <c r="E40" i="8" s="1"/>
  <c r="J40" i="8" a="1"/>
  <c r="J40" i="8" s="1"/>
  <c r="H40" i="8"/>
  <c r="X38" i="8"/>
  <c r="W38" i="8"/>
  <c r="V38" i="8"/>
  <c r="U38" i="8"/>
  <c r="O38" i="8"/>
  <c r="T38" i="8"/>
  <c r="S38" i="8"/>
  <c r="R38" i="8"/>
  <c r="Q38" i="8"/>
  <c r="P38" i="8"/>
  <c r="R37" i="8"/>
  <c r="P37" i="8"/>
  <c r="K40" i="8" l="1" a="1"/>
  <c r="K40" i="8" s="1"/>
  <c r="G43" i="8" a="1"/>
  <c r="G43" i="8" s="1"/>
  <c r="C44" i="8" a="1"/>
  <c r="C44" i="8" s="1"/>
  <c r="N39" i="8" a="1"/>
  <c r="N39" i="8" s="1"/>
  <c r="M39" i="8" a="1"/>
  <c r="M39" i="8" s="1"/>
  <c r="S37" i="8"/>
  <c r="J41" i="8" a="1"/>
  <c r="J41" i="8" s="1"/>
  <c r="H41" i="8"/>
  <c r="E41" i="8" a="1"/>
  <c r="E41" i="8" s="1"/>
  <c r="K41" i="8" s="1" a="1"/>
  <c r="K41" i="8" s="1"/>
  <c r="F40" i="8"/>
  <c r="D40" i="8"/>
  <c r="I40" i="8" s="1" a="1"/>
  <c r="I40" i="8" s="1"/>
  <c r="L40" i="8" a="1"/>
  <c r="L40" i="8" s="1"/>
  <c r="AC40" i="8" a="1"/>
  <c r="AC40" i="8" s="1"/>
  <c r="AB40" i="8" a="1"/>
  <c r="AB40" i="8" s="1"/>
  <c r="Z40" i="8"/>
  <c r="Y40" i="8"/>
  <c r="AD40" i="8"/>
  <c r="AA40" i="8"/>
  <c r="V39" i="8"/>
  <c r="U39" i="8"/>
  <c r="T39" i="8"/>
  <c r="S39" i="8"/>
  <c r="Q39" i="8"/>
  <c r="P39" i="8"/>
  <c r="X39" i="8"/>
  <c r="W39" i="8"/>
  <c r="R39" i="8"/>
  <c r="O39" i="8"/>
  <c r="U36" i="8"/>
  <c r="U37" i="8"/>
  <c r="U35" i="8"/>
  <c r="C45" i="8" l="1" a="1"/>
  <c r="C45" i="8" s="1"/>
  <c r="G44" i="8" a="1"/>
  <c r="G44" i="8" s="1"/>
  <c r="N40" i="8" a="1"/>
  <c r="N40" i="8" s="1"/>
  <c r="M40" i="8" a="1"/>
  <c r="M40" i="8" s="1"/>
  <c r="O40" i="8"/>
  <c r="X40" i="8"/>
  <c r="W40" i="8"/>
  <c r="V40" i="8"/>
  <c r="U40" i="8"/>
  <c r="Q40" i="8"/>
  <c r="T40" i="8"/>
  <c r="S40" i="8"/>
  <c r="R40" i="8"/>
  <c r="P40" i="8"/>
  <c r="D41" i="8"/>
  <c r="I41" i="8" s="1" a="1"/>
  <c r="I41" i="8" s="1"/>
  <c r="L41" i="8" a="1"/>
  <c r="L41" i="8" s="1"/>
  <c r="F41" i="8"/>
  <c r="E42" i="8" a="1"/>
  <c r="E42" i="8" s="1"/>
  <c r="J42" i="8" a="1"/>
  <c r="J42" i="8" s="1"/>
  <c r="H42" i="8"/>
  <c r="Y41" i="8"/>
  <c r="AD41" i="8"/>
  <c r="Z41" i="8"/>
  <c r="AB41" i="8" a="1"/>
  <c r="AB41" i="8" s="1"/>
  <c r="AA41" i="8"/>
  <c r="AC41" i="8" a="1"/>
  <c r="AC41" i="8" s="1"/>
  <c r="W37" i="8"/>
  <c r="W35" i="8"/>
  <c r="W36" i="8"/>
  <c r="K42" i="8" l="1" a="1"/>
  <c r="K42" i="8" s="1"/>
  <c r="X35" i="8"/>
  <c r="X36" i="8"/>
  <c r="C46" i="8" a="1"/>
  <c r="C46" i="8" s="1"/>
  <c r="G45" i="8" a="1"/>
  <c r="G45" i="8" s="1"/>
  <c r="N41" i="8" a="1"/>
  <c r="N41" i="8" s="1"/>
  <c r="M41" i="8" a="1"/>
  <c r="M41" i="8" s="1"/>
  <c r="X37" i="8"/>
  <c r="AD42" i="8"/>
  <c r="AC42" i="8" a="1"/>
  <c r="AC42" i="8" s="1"/>
  <c r="AA42" i="8"/>
  <c r="AB42" i="8" a="1"/>
  <c r="AB42" i="8" s="1"/>
  <c r="Z42" i="8"/>
  <c r="Y42" i="8"/>
  <c r="J43" i="8" a="1"/>
  <c r="J43" i="8" s="1"/>
  <c r="E43" i="8" a="1"/>
  <c r="E43" i="8" s="1"/>
  <c r="K43" i="8" s="1" a="1"/>
  <c r="K43" i="8" s="1"/>
  <c r="H43" i="8"/>
  <c r="F42" i="8"/>
  <c r="D42" i="8"/>
  <c r="I42" i="8" s="1" a="1"/>
  <c r="I42" i="8" s="1"/>
  <c r="L42" i="8" a="1"/>
  <c r="L42" i="8" s="1"/>
  <c r="X41" i="8"/>
  <c r="W41" i="8"/>
  <c r="V41" i="8"/>
  <c r="U41" i="8"/>
  <c r="S41" i="8"/>
  <c r="R41" i="8"/>
  <c r="T41" i="8"/>
  <c r="Q41" i="8"/>
  <c r="P41" i="8"/>
  <c r="O41" i="8"/>
  <c r="C47" i="8" l="1" a="1"/>
  <c r="C47" i="8" s="1"/>
  <c r="G46" i="8" a="1"/>
  <c r="G46" i="8" s="1"/>
  <c r="N42" i="8" a="1"/>
  <c r="N42" i="8" s="1"/>
  <c r="M42" i="8" a="1"/>
  <c r="M42" i="8" s="1"/>
  <c r="L43" i="8" a="1"/>
  <c r="L43" i="8" s="1"/>
  <c r="D43" i="8"/>
  <c r="I43" i="8" s="1" a="1"/>
  <c r="I43" i="8" s="1"/>
  <c r="F43" i="8"/>
  <c r="Q42" i="8"/>
  <c r="P42" i="8"/>
  <c r="O42" i="8"/>
  <c r="X42" i="8"/>
  <c r="W42" i="8"/>
  <c r="V42" i="8"/>
  <c r="U42" i="8"/>
  <c r="T42" i="8"/>
  <c r="S42" i="8"/>
  <c r="R42" i="8"/>
  <c r="H44" i="8"/>
  <c r="E44" i="8" a="1"/>
  <c r="E44" i="8" s="1"/>
  <c r="K44" i="8" s="1" a="1"/>
  <c r="K44" i="8" s="1"/>
  <c r="J44" i="8" a="1"/>
  <c r="J44" i="8" s="1"/>
  <c r="Z43" i="8"/>
  <c r="Y43" i="8"/>
  <c r="AD43" i="8"/>
  <c r="AB43" i="8" a="1"/>
  <c r="AB43" i="8" s="1"/>
  <c r="AC43" i="8" a="1"/>
  <c r="AC43" i="8" s="1"/>
  <c r="AA43" i="8"/>
  <c r="G47" i="8" l="1" a="1"/>
  <c r="G47" i="8" s="1"/>
  <c r="C48" i="8" a="1"/>
  <c r="C48" i="8" s="1"/>
  <c r="N43" i="8" a="1"/>
  <c r="N43" i="8" s="1"/>
  <c r="M43" i="8" a="1"/>
  <c r="M43" i="8" s="1"/>
  <c r="X43" i="8"/>
  <c r="W43" i="8"/>
  <c r="U43" i="8"/>
  <c r="T43" i="8"/>
  <c r="S43" i="8"/>
  <c r="R43" i="8"/>
  <c r="Q43" i="8"/>
  <c r="P43" i="8"/>
  <c r="O43" i="8"/>
  <c r="V43" i="8"/>
  <c r="F44" i="8"/>
  <c r="D44" i="8"/>
  <c r="I44" i="8" s="1" a="1"/>
  <c r="I44" i="8" s="1"/>
  <c r="L44" i="8" a="1"/>
  <c r="L44" i="8" s="1"/>
  <c r="AD44" i="8"/>
  <c r="AB44" i="8" a="1"/>
  <c r="AB44" i="8" s="1"/>
  <c r="AC44" i="8" a="1"/>
  <c r="AC44" i="8" s="1"/>
  <c r="AA44" i="8"/>
  <c r="Z44" i="8"/>
  <c r="Y44" i="8"/>
  <c r="E45" i="8" a="1"/>
  <c r="E45" i="8" s="1"/>
  <c r="K45" i="8" s="1" a="1"/>
  <c r="K45" i="8" s="1"/>
  <c r="J45" i="8" a="1"/>
  <c r="J45" i="8" s="1"/>
  <c r="H45" i="8"/>
  <c r="C49" i="8" l="1" a="1"/>
  <c r="C49" i="8" s="1"/>
  <c r="G48" i="8" a="1"/>
  <c r="G48" i="8" s="1"/>
  <c r="N44" i="8" a="1"/>
  <c r="N44" i="8" s="1"/>
  <c r="M44" i="8" a="1"/>
  <c r="M44" i="8" s="1"/>
  <c r="S44" i="8"/>
  <c r="R44" i="8"/>
  <c r="Q44" i="8"/>
  <c r="P44" i="8"/>
  <c r="X44" i="8"/>
  <c r="W44" i="8"/>
  <c r="V44" i="8"/>
  <c r="U44" i="8"/>
  <c r="T44" i="8"/>
  <c r="O44" i="8"/>
  <c r="L45" i="8" a="1"/>
  <c r="L45" i="8" s="1"/>
  <c r="F45" i="8"/>
  <c r="AB45" i="8" a="1"/>
  <c r="AB45" i="8" s="1"/>
  <c r="AA45" i="8"/>
  <c r="Z45" i="8"/>
  <c r="AD45" i="8"/>
  <c r="Y45" i="8"/>
  <c r="AC45" i="8" a="1"/>
  <c r="AC45" i="8" s="1"/>
  <c r="J46" i="8" a="1"/>
  <c r="J46" i="8" s="1"/>
  <c r="H46" i="8"/>
  <c r="E46" i="8" a="1"/>
  <c r="E46" i="8" s="1"/>
  <c r="K46" i="8" s="1" a="1"/>
  <c r="K46" i="8" s="1"/>
  <c r="C50" i="8" l="1" a="1"/>
  <c r="C50" i="8" s="1"/>
  <c r="G49" i="8" a="1"/>
  <c r="G49" i="8" s="1"/>
  <c r="N45" i="8" a="1"/>
  <c r="N45" i="8" s="1"/>
  <c r="M45" i="8" a="1"/>
  <c r="M45" i="8" s="1"/>
  <c r="F46" i="8"/>
  <c r="D46" i="8"/>
  <c r="I46" i="8" s="1" a="1"/>
  <c r="I46" i="8" s="1"/>
  <c r="L46" i="8" a="1"/>
  <c r="L46" i="8" s="1"/>
  <c r="E47" i="8" a="1"/>
  <c r="E47" i="8" s="1"/>
  <c r="K47" i="8" s="1" a="1"/>
  <c r="K47" i="8" s="1"/>
  <c r="J47" i="8" a="1"/>
  <c r="J47" i="8" s="1"/>
  <c r="H47" i="8"/>
  <c r="X45" i="8"/>
  <c r="W45" i="8"/>
  <c r="T45" i="8"/>
  <c r="S45" i="8"/>
  <c r="R45" i="8"/>
  <c r="Q45" i="8"/>
  <c r="P45" i="8"/>
  <c r="O45" i="8"/>
  <c r="U45" i="8"/>
  <c r="V45" i="8"/>
  <c r="AD46" i="8"/>
  <c r="AC46" i="8" a="1"/>
  <c r="AC46" i="8" s="1"/>
  <c r="AB46" i="8" a="1"/>
  <c r="AB46" i="8" s="1"/>
  <c r="AA46" i="8"/>
  <c r="Z46" i="8"/>
  <c r="Y46" i="8"/>
  <c r="C51" i="8" l="1" a="1"/>
  <c r="C51" i="8" s="1"/>
  <c r="G50" i="8" a="1"/>
  <c r="G50" i="8" s="1"/>
  <c r="N46" i="8" a="1"/>
  <c r="N46" i="8" s="1"/>
  <c r="M46" i="8" a="1"/>
  <c r="M46" i="8" s="1"/>
  <c r="F47" i="8"/>
  <c r="D47" i="8"/>
  <c r="I47" i="8" s="1" a="1"/>
  <c r="I47" i="8" s="1"/>
  <c r="L47" i="8" a="1"/>
  <c r="L47" i="8" s="1"/>
  <c r="AC47" i="8" a="1"/>
  <c r="AC47" i="8" s="1"/>
  <c r="AB47" i="8" a="1"/>
  <c r="AB47" i="8" s="1"/>
  <c r="Z47" i="8"/>
  <c r="Y47" i="8"/>
  <c r="AD47" i="8"/>
  <c r="AA47" i="8"/>
  <c r="J48" i="8" a="1"/>
  <c r="J48" i="8" s="1"/>
  <c r="H48" i="8"/>
  <c r="E48" i="8" a="1"/>
  <c r="E48" i="8" s="1"/>
  <c r="K48" i="8" s="1" a="1"/>
  <c r="K48" i="8" s="1"/>
  <c r="V46" i="8"/>
  <c r="U46" i="8"/>
  <c r="T46" i="8"/>
  <c r="S46" i="8"/>
  <c r="Q46" i="8"/>
  <c r="P46" i="8"/>
  <c r="X46" i="8"/>
  <c r="W46" i="8"/>
  <c r="R46" i="8"/>
  <c r="O46" i="8"/>
  <c r="G51" i="8" l="1" a="1"/>
  <c r="G51" i="8" s="1"/>
  <c r="C52" i="8" a="1"/>
  <c r="C52" i="8" s="1"/>
  <c r="N47" i="8" a="1"/>
  <c r="N47" i="8" s="1"/>
  <c r="M47" i="8" a="1"/>
  <c r="M47" i="8" s="1"/>
  <c r="F48" i="8"/>
  <c r="D48" i="8"/>
  <c r="I48" i="8" s="1" a="1"/>
  <c r="I48" i="8" s="1"/>
  <c r="L48" i="8" a="1"/>
  <c r="L48" i="8" s="1"/>
  <c r="H49" i="8"/>
  <c r="J49" i="8" a="1"/>
  <c r="J49" i="8" s="1"/>
  <c r="E49" i="8" a="1"/>
  <c r="E49" i="8" s="1"/>
  <c r="K49" i="8" s="1" a="1"/>
  <c r="K49" i="8" s="1"/>
  <c r="AC48" i="8" a="1"/>
  <c r="AC48" i="8" s="1"/>
  <c r="AB48" i="8" a="1"/>
  <c r="AB48" i="8" s="1"/>
  <c r="AA48" i="8"/>
  <c r="Z48" i="8"/>
  <c r="Y48" i="8"/>
  <c r="AD48" i="8"/>
  <c r="O47" i="8"/>
  <c r="T47" i="8"/>
  <c r="S47" i="8"/>
  <c r="R47" i="8"/>
  <c r="Q47" i="8"/>
  <c r="P47" i="8"/>
  <c r="X47" i="8"/>
  <c r="W47" i="8"/>
  <c r="U47" i="8"/>
  <c r="V47" i="8"/>
  <c r="C53" i="8" l="1" a="1"/>
  <c r="C53" i="8" s="1"/>
  <c r="G52" i="8" a="1"/>
  <c r="G52" i="8" s="1"/>
  <c r="N48" i="8" a="1"/>
  <c r="N48" i="8" s="1"/>
  <c r="M48" i="8" a="1"/>
  <c r="M48" i="8" s="1"/>
  <c r="F49" i="8"/>
  <c r="L49" i="8" a="1"/>
  <c r="L49" i="8" s="1"/>
  <c r="J50" i="8" a="1"/>
  <c r="J50" i="8" s="1"/>
  <c r="H50" i="8"/>
  <c r="E50" i="8" a="1"/>
  <c r="E50" i="8" s="1"/>
  <c r="K50" i="8" s="1" a="1"/>
  <c r="K50" i="8" s="1"/>
  <c r="X48" i="8"/>
  <c r="W48" i="8"/>
  <c r="V48" i="8"/>
  <c r="U48" i="8"/>
  <c r="S48" i="8"/>
  <c r="R48" i="8"/>
  <c r="T48" i="8"/>
  <c r="Q48" i="8"/>
  <c r="P48" i="8"/>
  <c r="O48" i="8"/>
  <c r="AD49" i="8"/>
  <c r="AC49" i="8" a="1"/>
  <c r="AC49" i="8" s="1"/>
  <c r="AB49" i="8" a="1"/>
  <c r="AB49" i="8" s="1"/>
  <c r="AA49" i="8"/>
  <c r="Z49" i="8"/>
  <c r="Y49" i="8"/>
  <c r="C54" i="8" l="1" a="1"/>
  <c r="C54" i="8" s="1"/>
  <c r="G53" i="8" a="1"/>
  <c r="G53" i="8" s="1"/>
  <c r="N49" i="8" a="1"/>
  <c r="N49" i="8" s="1"/>
  <c r="M49" i="8" a="1"/>
  <c r="M49" i="8" s="1"/>
  <c r="H51" i="8"/>
  <c r="E51" i="8" a="1"/>
  <c r="E51" i="8" s="1"/>
  <c r="K51" i="8" s="1" a="1"/>
  <c r="K51" i="8" s="1"/>
  <c r="J51" i="8" a="1"/>
  <c r="J51" i="8" s="1"/>
  <c r="L50" i="8" a="1"/>
  <c r="L50" i="8" s="1"/>
  <c r="F50" i="8"/>
  <c r="D50" i="8"/>
  <c r="I50" i="8" s="1" a="1"/>
  <c r="I50" i="8" s="1"/>
  <c r="AA50" i="8"/>
  <c r="Z50" i="8"/>
  <c r="Y50" i="8"/>
  <c r="AD50" i="8"/>
  <c r="AC50" i="8" a="1"/>
  <c r="AC50" i="8" s="1"/>
  <c r="AB50" i="8" a="1"/>
  <c r="AB50" i="8" s="1"/>
  <c r="R49" i="8"/>
  <c r="Q49" i="8"/>
  <c r="P49" i="8"/>
  <c r="O49" i="8"/>
  <c r="U49" i="8"/>
  <c r="T49" i="8"/>
  <c r="S49" i="8"/>
  <c r="X49" i="8"/>
  <c r="V49" i="8"/>
  <c r="W49" i="8"/>
  <c r="C55" i="8" l="1" a="1"/>
  <c r="C55" i="8" s="1"/>
  <c r="G54" i="8" a="1"/>
  <c r="G54" i="8" s="1"/>
  <c r="N50" i="8" a="1"/>
  <c r="N50" i="8" s="1"/>
  <c r="M50" i="8" a="1"/>
  <c r="M50" i="8" s="1"/>
  <c r="X50" i="8"/>
  <c r="V50" i="8"/>
  <c r="U50" i="8"/>
  <c r="W50" i="8"/>
  <c r="T50" i="8"/>
  <c r="S50" i="8"/>
  <c r="R50" i="8"/>
  <c r="Q50" i="8"/>
  <c r="P50" i="8"/>
  <c r="O50" i="8"/>
  <c r="F51" i="8"/>
  <c r="L51" i="8" a="1"/>
  <c r="L51" i="8" s="1"/>
  <c r="D51" i="8"/>
  <c r="I51" i="8" s="1" a="1"/>
  <c r="I51" i="8" s="1"/>
  <c r="AC51" i="8" a="1"/>
  <c r="AC51" i="8" s="1"/>
  <c r="AD51" i="8"/>
  <c r="AB51" i="8" a="1"/>
  <c r="AB51" i="8" s="1"/>
  <c r="AA51" i="8"/>
  <c r="Z51" i="8"/>
  <c r="Y51" i="8"/>
  <c r="H52" i="8"/>
  <c r="E52" i="8" a="1"/>
  <c r="E52" i="8" s="1"/>
  <c r="K52" i="8" s="1" a="1"/>
  <c r="K52" i="8" s="1"/>
  <c r="J52" i="8" a="1"/>
  <c r="J52" i="8" s="1"/>
  <c r="G55" i="8" l="1" a="1"/>
  <c r="G55" i="8" s="1"/>
  <c r="C56" i="8" a="1"/>
  <c r="C56" i="8" s="1"/>
  <c r="N51" i="8" a="1"/>
  <c r="N51" i="8" s="1"/>
  <c r="M51" i="8" a="1"/>
  <c r="M51" i="8" s="1"/>
  <c r="J53" i="8" a="1"/>
  <c r="J53" i="8" s="1"/>
  <c r="H53" i="8"/>
  <c r="E53" i="8" a="1"/>
  <c r="E53" i="8" s="1"/>
  <c r="K53" i="8" s="1" a="1"/>
  <c r="K53" i="8" s="1"/>
  <c r="D52" i="8"/>
  <c r="I52" i="8" s="1" a="1"/>
  <c r="I52" i="8" s="1"/>
  <c r="L52" i="8" a="1"/>
  <c r="L52" i="8" s="1"/>
  <c r="F52" i="8"/>
  <c r="AB52" i="8" a="1"/>
  <c r="AB52" i="8" s="1"/>
  <c r="AA52" i="8"/>
  <c r="Z52" i="8"/>
  <c r="AD52" i="8"/>
  <c r="AC52" i="8" a="1"/>
  <c r="AC52" i="8" s="1"/>
  <c r="Y52" i="8"/>
  <c r="T51" i="8"/>
  <c r="S51" i="8"/>
  <c r="R51" i="8"/>
  <c r="Q51" i="8"/>
  <c r="O51" i="8"/>
  <c r="U51" i="8"/>
  <c r="P51" i="8"/>
  <c r="X51" i="8"/>
  <c r="V51" i="8"/>
  <c r="W51" i="8"/>
  <c r="G56" i="8" l="1" a="1"/>
  <c r="G56" i="8" s="1"/>
  <c r="C57" i="8" a="1"/>
  <c r="C57" i="8" s="1"/>
  <c r="N52" i="8" a="1"/>
  <c r="N52" i="8" s="1"/>
  <c r="M52" i="8" a="1"/>
  <c r="M52" i="8" s="1"/>
  <c r="AD53" i="8"/>
  <c r="AC53" i="8" a="1"/>
  <c r="AC53" i="8" s="1"/>
  <c r="AB53" i="8" a="1"/>
  <c r="AB53" i="8" s="1"/>
  <c r="AA53" i="8"/>
  <c r="Z53" i="8"/>
  <c r="Y53" i="8"/>
  <c r="E54" i="8" a="1"/>
  <c r="E54" i="8" s="1"/>
  <c r="K54" i="8" s="1" a="1"/>
  <c r="K54" i="8" s="1"/>
  <c r="H54" i="8"/>
  <c r="J54" i="8" a="1"/>
  <c r="J54" i="8" s="1"/>
  <c r="X52" i="8"/>
  <c r="W52" i="8"/>
  <c r="V52" i="8"/>
  <c r="U52" i="8"/>
  <c r="T52" i="8"/>
  <c r="S52" i="8"/>
  <c r="R52" i="8"/>
  <c r="Q52" i="8"/>
  <c r="P52" i="8"/>
  <c r="O52" i="8"/>
  <c r="L53" i="8" a="1"/>
  <c r="L53" i="8" s="1"/>
  <c r="F53" i="8"/>
  <c r="D53" i="8"/>
  <c r="I53" i="8" s="1" a="1"/>
  <c r="I53" i="8" s="1"/>
  <c r="C58" i="8" l="1" a="1"/>
  <c r="C58" i="8" s="1"/>
  <c r="G57" i="8" a="1"/>
  <c r="G57" i="8" s="1"/>
  <c r="N53" i="8" a="1"/>
  <c r="N53" i="8" s="1"/>
  <c r="M53" i="8" a="1"/>
  <c r="M53" i="8" s="1"/>
  <c r="J55" i="8" a="1"/>
  <c r="J55" i="8" s="1"/>
  <c r="H55" i="8"/>
  <c r="E55" i="8" a="1"/>
  <c r="E55" i="8" s="1"/>
  <c r="K55" i="8" s="1" a="1"/>
  <c r="K55" i="8" s="1"/>
  <c r="F54" i="8"/>
  <c r="D54" i="8"/>
  <c r="I54" i="8" s="1" a="1"/>
  <c r="I54" i="8" s="1"/>
  <c r="L54" i="8" a="1"/>
  <c r="L54" i="8" s="1"/>
  <c r="V53" i="8"/>
  <c r="U53" i="8"/>
  <c r="T53" i="8"/>
  <c r="S53" i="8"/>
  <c r="Q53" i="8"/>
  <c r="P53" i="8"/>
  <c r="O53" i="8"/>
  <c r="X53" i="8"/>
  <c r="R53" i="8"/>
  <c r="W53" i="8"/>
  <c r="AC54" i="8" a="1"/>
  <c r="AC54" i="8" s="1"/>
  <c r="AB54" i="8" a="1"/>
  <c r="AB54" i="8" s="1"/>
  <c r="Z54" i="8"/>
  <c r="Y54" i="8"/>
  <c r="AD54" i="8"/>
  <c r="AA54" i="8"/>
  <c r="C59" i="8" l="1" a="1"/>
  <c r="C59" i="8" s="1"/>
  <c r="G58" i="8" a="1"/>
  <c r="G58" i="8" s="1"/>
  <c r="N54" i="8" a="1"/>
  <c r="N54" i="8" s="1"/>
  <c r="M54" i="8" a="1"/>
  <c r="M54" i="8" s="1"/>
  <c r="L55" i="8" a="1"/>
  <c r="L55" i="8" s="1"/>
  <c r="F55" i="8"/>
  <c r="D55" i="8"/>
  <c r="I55" i="8" s="1" a="1"/>
  <c r="I55" i="8" s="1"/>
  <c r="AD55" i="8"/>
  <c r="AC55" i="8" a="1"/>
  <c r="AC55" i="8" s="1"/>
  <c r="AB55" i="8" a="1"/>
  <c r="AB55" i="8" s="1"/>
  <c r="AA55" i="8"/>
  <c r="Z55" i="8"/>
  <c r="Y55" i="8"/>
  <c r="E56" i="8" a="1"/>
  <c r="E56" i="8" s="1"/>
  <c r="K56" i="8" s="1" a="1"/>
  <c r="K56" i="8" s="1"/>
  <c r="J56" i="8" a="1"/>
  <c r="J56" i="8" s="1"/>
  <c r="H56" i="8"/>
  <c r="O54" i="8"/>
  <c r="X54" i="8"/>
  <c r="W54" i="8"/>
  <c r="V54" i="8"/>
  <c r="U54" i="8"/>
  <c r="T54" i="8"/>
  <c r="S54" i="8"/>
  <c r="R54" i="8"/>
  <c r="Q54" i="8"/>
  <c r="P54" i="8"/>
  <c r="G59" i="8" l="1" a="1"/>
  <c r="G59" i="8" s="1"/>
  <c r="C60" i="8" a="1"/>
  <c r="C60" i="8" s="1"/>
  <c r="N55" i="8" a="1"/>
  <c r="N55" i="8" s="1"/>
  <c r="M55" i="8" a="1"/>
  <c r="M55" i="8" s="1"/>
  <c r="E57" i="8" a="1"/>
  <c r="E57" i="8" s="1"/>
  <c r="K57" i="8" s="1" a="1"/>
  <c r="K57" i="8" s="1"/>
  <c r="J57" i="8" a="1"/>
  <c r="J57" i="8" s="1"/>
  <c r="H57" i="8"/>
  <c r="F56" i="8"/>
  <c r="D56" i="8"/>
  <c r="I56" i="8" s="1" a="1"/>
  <c r="I56" i="8" s="1"/>
  <c r="L56" i="8" a="1"/>
  <c r="L56" i="8" s="1"/>
  <c r="AD56" i="8"/>
  <c r="AC56" i="8" a="1"/>
  <c r="AC56" i="8" s="1"/>
  <c r="AA56" i="8"/>
  <c r="AB56" i="8" a="1"/>
  <c r="AB56" i="8" s="1"/>
  <c r="Z56" i="8"/>
  <c r="Y56" i="8"/>
  <c r="X55" i="8"/>
  <c r="W55" i="8"/>
  <c r="V55" i="8"/>
  <c r="U55" i="8"/>
  <c r="S55" i="8"/>
  <c r="R55" i="8"/>
  <c r="P55" i="8"/>
  <c r="O55" i="8"/>
  <c r="Q55" i="8"/>
  <c r="T55" i="8"/>
  <c r="G60" i="8" l="1" a="1"/>
  <c r="G60" i="8" s="1"/>
  <c r="C61" i="8" a="1"/>
  <c r="C61" i="8" s="1"/>
  <c r="N56" i="8" a="1"/>
  <c r="N56" i="8" s="1"/>
  <c r="M56" i="8" a="1"/>
  <c r="M56" i="8" s="1"/>
  <c r="Z57" i="8"/>
  <c r="Y57" i="8"/>
  <c r="AA57" i="8"/>
  <c r="AD57" i="8"/>
  <c r="AC57" i="8" a="1"/>
  <c r="AC57" i="8" s="1"/>
  <c r="AB57" i="8" a="1"/>
  <c r="AB57" i="8" s="1"/>
  <c r="Q56" i="8"/>
  <c r="P56" i="8"/>
  <c r="O56" i="8"/>
  <c r="U56" i="8"/>
  <c r="X56" i="8"/>
  <c r="W56" i="8"/>
  <c r="V56" i="8"/>
  <c r="T56" i="8"/>
  <c r="S56" i="8"/>
  <c r="R56" i="8"/>
  <c r="H58" i="8"/>
  <c r="E58" i="8" a="1"/>
  <c r="E58" i="8" s="1"/>
  <c r="K58" i="8" s="1" a="1"/>
  <c r="K58" i="8" s="1"/>
  <c r="J58" i="8" a="1"/>
  <c r="J58" i="8" s="1"/>
  <c r="L57" i="8" a="1"/>
  <c r="L57" i="8" s="1"/>
  <c r="D57" i="8"/>
  <c r="I57" i="8" s="1" a="1"/>
  <c r="I57" i="8" s="1"/>
  <c r="F57" i="8"/>
  <c r="C62" i="8" l="1" a="1"/>
  <c r="C62" i="8" s="1"/>
  <c r="G61" i="8" a="1"/>
  <c r="G61" i="8" s="1"/>
  <c r="N57" i="8" a="1"/>
  <c r="N57" i="8" s="1"/>
  <c r="M57" i="8" a="1"/>
  <c r="M57" i="8" s="1"/>
  <c r="L58" i="8" a="1"/>
  <c r="L58" i="8" s="1"/>
  <c r="F58" i="8"/>
  <c r="D58" i="8"/>
  <c r="I58" i="8" s="1" a="1"/>
  <c r="I58" i="8" s="1"/>
  <c r="X57" i="8"/>
  <c r="W57" i="8"/>
  <c r="U57" i="8"/>
  <c r="T57" i="8"/>
  <c r="V57" i="8"/>
  <c r="S57" i="8"/>
  <c r="R57" i="8"/>
  <c r="Q57" i="8"/>
  <c r="P57" i="8"/>
  <c r="O57" i="8"/>
  <c r="AD58" i="8"/>
  <c r="AB58" i="8" a="1"/>
  <c r="AB58" i="8" s="1"/>
  <c r="AC58" i="8" a="1"/>
  <c r="AC58" i="8" s="1"/>
  <c r="AA58" i="8"/>
  <c r="Z58" i="8"/>
  <c r="Y58" i="8"/>
  <c r="J59" i="8" a="1"/>
  <c r="J59" i="8" s="1"/>
  <c r="H59" i="8"/>
  <c r="E59" i="8" a="1"/>
  <c r="E59" i="8" s="1"/>
  <c r="K59" i="8" s="1" a="1"/>
  <c r="K59" i="8" s="1"/>
  <c r="C63" i="8" l="1" a="1"/>
  <c r="C63" i="8" s="1"/>
  <c r="G62" i="8" a="1"/>
  <c r="G62" i="8" s="1"/>
  <c r="N58" i="8" a="1"/>
  <c r="N58" i="8" s="1"/>
  <c r="M58" i="8" a="1"/>
  <c r="M58" i="8" s="1"/>
  <c r="D59" i="8"/>
  <c r="I59" i="8" s="1" a="1"/>
  <c r="I59" i="8" s="1"/>
  <c r="L59" i="8" a="1"/>
  <c r="L59" i="8" s="1"/>
  <c r="F59" i="8"/>
  <c r="H60" i="8"/>
  <c r="E60" i="8" a="1"/>
  <c r="E60" i="8" s="1"/>
  <c r="K60" i="8" s="1" a="1"/>
  <c r="K60" i="8" s="1"/>
  <c r="J60" i="8" a="1"/>
  <c r="J60" i="8" s="1"/>
  <c r="AA59" i="8"/>
  <c r="Z59" i="8"/>
  <c r="Y59" i="8"/>
  <c r="AD59" i="8"/>
  <c r="AC59" i="8" a="1"/>
  <c r="AC59" i="8" s="1"/>
  <c r="AB59" i="8" a="1"/>
  <c r="AB59" i="8" s="1"/>
  <c r="S58" i="8"/>
  <c r="R58" i="8"/>
  <c r="Q58" i="8"/>
  <c r="P58" i="8"/>
  <c r="W58" i="8"/>
  <c r="X58" i="8"/>
  <c r="V58" i="8"/>
  <c r="U58" i="8"/>
  <c r="O58" i="8"/>
  <c r="T58" i="8"/>
  <c r="G63" i="8" l="1" a="1"/>
  <c r="G63" i="8" s="1"/>
  <c r="M15" i="8" a="1"/>
  <c r="M15" i="8" s="1"/>
  <c r="N14" i="8" a="1"/>
  <c r="N14" i="8" s="1"/>
  <c r="M14" i="8" a="1"/>
  <c r="M14" i="8" s="1"/>
  <c r="N16" i="8" a="1"/>
  <c r="N16" i="8" s="1"/>
  <c r="N15" i="8" a="1"/>
  <c r="N15" i="8" s="1"/>
  <c r="M16" i="8" a="1"/>
  <c r="M16" i="8" s="1"/>
  <c r="M20" i="8" a="1"/>
  <c r="M20" i="8" s="1"/>
  <c r="N20" i="8" a="1"/>
  <c r="N20" i="8" s="1"/>
  <c r="N23" i="8" a="1"/>
  <c r="N23" i="8" s="1"/>
  <c r="M22" i="8" a="1"/>
  <c r="M22" i="8" s="1"/>
  <c r="M21" i="8" a="1"/>
  <c r="M21" i="8" s="1"/>
  <c r="N21" i="8" a="1"/>
  <c r="N21" i="8" s="1"/>
  <c r="N22" i="8" a="1"/>
  <c r="N22" i="8" s="1"/>
  <c r="N59" i="8" a="1"/>
  <c r="N59" i="8" s="1"/>
  <c r="M59" i="8" a="1"/>
  <c r="M59" i="8" s="1"/>
  <c r="E61" i="8" a="1"/>
  <c r="E61" i="8" s="1"/>
  <c r="H61" i="8"/>
  <c r="J61" i="8" a="1"/>
  <c r="J61" i="8" s="1"/>
  <c r="W59" i="8"/>
  <c r="V59" i="8"/>
  <c r="U59" i="8"/>
  <c r="P59" i="8"/>
  <c r="X59" i="8"/>
  <c r="T59" i="8"/>
  <c r="S59" i="8"/>
  <c r="R59" i="8"/>
  <c r="Q59" i="8"/>
  <c r="O59" i="8"/>
  <c r="AD60" i="8"/>
  <c r="AC60" i="8" a="1"/>
  <c r="AC60" i="8" s="1"/>
  <c r="Y60" i="8"/>
  <c r="AB60" i="8" a="1"/>
  <c r="AB60" i="8" s="1"/>
  <c r="AA60" i="8"/>
  <c r="Z60" i="8"/>
  <c r="F60" i="8"/>
  <c r="D60" i="8"/>
  <c r="I60" i="8" s="1" a="1"/>
  <c r="I60" i="8" s="1"/>
  <c r="L60" i="8" a="1"/>
  <c r="L60" i="8" s="1"/>
  <c r="K61" i="8" l="1" a="1"/>
  <c r="K61" i="8" s="1"/>
  <c r="N60" i="8" a="1"/>
  <c r="N60" i="8" s="1"/>
  <c r="M60" i="8" a="1"/>
  <c r="M60" i="8" s="1"/>
  <c r="AB61" i="8" a="1"/>
  <c r="AB61" i="8" s="1"/>
  <c r="AA61" i="8"/>
  <c r="Y61" i="8"/>
  <c r="AD61" i="8"/>
  <c r="Z61" i="8"/>
  <c r="AC61" i="8" a="1"/>
  <c r="AC61" i="8" s="1"/>
  <c r="U60" i="8"/>
  <c r="T60" i="8"/>
  <c r="S60" i="8"/>
  <c r="R60" i="8"/>
  <c r="P60" i="8"/>
  <c r="O60" i="8"/>
  <c r="X60" i="8"/>
  <c r="W60" i="8"/>
  <c r="V60" i="8"/>
  <c r="Q60" i="8"/>
  <c r="J62" i="8" a="1"/>
  <c r="J62" i="8" s="1"/>
  <c r="H62" i="8"/>
  <c r="E62" i="8" a="1"/>
  <c r="E62" i="8" s="1"/>
  <c r="K62" i="8" s="1" a="1"/>
  <c r="K62" i="8" s="1"/>
  <c r="D61" i="8"/>
  <c r="I61" i="8" s="1" a="1"/>
  <c r="I61" i="8" s="1"/>
  <c r="L61" i="8" a="1"/>
  <c r="L61" i="8" s="1"/>
  <c r="F61" i="8"/>
  <c r="N61" i="8" l="1" a="1"/>
  <c r="N61" i="8" s="1"/>
  <c r="M61" i="8" a="1"/>
  <c r="M61" i="8" s="1"/>
  <c r="X61" i="8"/>
  <c r="W61" i="8"/>
  <c r="R61" i="8"/>
  <c r="V61" i="8"/>
  <c r="U61" i="8"/>
  <c r="T61" i="8"/>
  <c r="S61" i="8"/>
  <c r="Q61" i="8"/>
  <c r="P61" i="8"/>
  <c r="O61" i="8"/>
  <c r="AD62" i="8"/>
  <c r="AA62" i="8"/>
  <c r="AC62" i="8" a="1"/>
  <c r="AC62" i="8" s="1"/>
  <c r="AB62" i="8" a="1"/>
  <c r="AB62" i="8" s="1"/>
  <c r="Z62" i="8"/>
  <c r="Y62" i="8"/>
  <c r="E63" i="8" a="1"/>
  <c r="E63" i="8" s="1"/>
  <c r="J63" i="8" a="1"/>
  <c r="J63" i="8" s="1"/>
  <c r="H63" i="8"/>
  <c r="L62" i="8" a="1"/>
  <c r="L62" i="8" s="1"/>
  <c r="F62" i="8"/>
  <c r="D62" i="8"/>
  <c r="I62" i="8" s="1" a="1"/>
  <c r="I62" i="8" s="1"/>
  <c r="K63" i="8" l="1" a="1"/>
  <c r="K63" i="8" s="1"/>
  <c r="N62" i="8" a="1"/>
  <c r="N62" i="8" s="1"/>
  <c r="M62" i="8" a="1"/>
  <c r="M62" i="8" s="1"/>
  <c r="O21" i="8"/>
  <c r="Q21" i="8"/>
  <c r="T21" i="8"/>
  <c r="V21" i="8"/>
  <c r="Q16" i="8"/>
  <c r="V16" i="8"/>
  <c r="T16" i="8"/>
  <c r="O16" i="8"/>
  <c r="V15" i="8"/>
  <c r="T15" i="8"/>
  <c r="Q15" i="8"/>
  <c r="O15" i="8"/>
  <c r="V14" i="8"/>
  <c r="T14" i="8"/>
  <c r="Q14" i="8"/>
  <c r="O14" i="8"/>
  <c r="O27" i="8"/>
  <c r="V27" i="8"/>
  <c r="T27" i="8"/>
  <c r="Q27" i="8"/>
  <c r="AD63" i="8"/>
  <c r="AC63" i="8" a="1"/>
  <c r="AC63" i="8" s="1"/>
  <c r="AB63" i="8" a="1"/>
  <c r="AB63" i="8" s="1"/>
  <c r="AA63" i="8"/>
  <c r="Z63" i="8"/>
  <c r="Y63" i="8"/>
  <c r="V22" i="8"/>
  <c r="O22" i="8"/>
  <c r="Q22" i="8"/>
  <c r="T22" i="8"/>
  <c r="O20" i="8"/>
  <c r="V20" i="8"/>
  <c r="T20" i="8"/>
  <c r="Q20" i="8"/>
  <c r="V23" i="8"/>
  <c r="T23" i="8"/>
  <c r="Q23" i="8"/>
  <c r="O23" i="8"/>
  <c r="F63" i="8"/>
  <c r="L63" i="8" a="1"/>
  <c r="L63" i="8" s="1"/>
  <c r="D63" i="8"/>
  <c r="I63" i="8" s="1" a="1"/>
  <c r="I63" i="8" s="1"/>
  <c r="W62" i="8"/>
  <c r="V62" i="8"/>
  <c r="U62" i="8"/>
  <c r="T62" i="8"/>
  <c r="R62" i="8"/>
  <c r="Q62" i="8"/>
  <c r="P62" i="8"/>
  <c r="O62" i="8"/>
  <c r="S62" i="8"/>
  <c r="X62" i="8"/>
  <c r="Q28" i="8"/>
  <c r="T28" i="8"/>
  <c r="O28" i="8"/>
  <c r="R28" i="8"/>
  <c r="P22" i="8"/>
  <c r="P14" i="8"/>
  <c r="R23" i="8"/>
  <c r="P27" i="8"/>
  <c r="R16" i="8"/>
  <c r="P28" i="8"/>
  <c r="P20" i="8"/>
  <c r="P23" i="8"/>
  <c r="R22" i="8"/>
  <c r="P21" i="8"/>
  <c r="P15" i="8"/>
  <c r="R15" i="8"/>
  <c r="R20" i="8"/>
  <c r="R14" i="8"/>
  <c r="R27" i="8"/>
  <c r="R21" i="8"/>
  <c r="P16" i="8"/>
  <c r="N63" i="8" l="1" a="1"/>
  <c r="N63" i="8" s="1"/>
  <c r="M63" i="8" a="1"/>
  <c r="M63" i="8" s="1"/>
  <c r="S16" i="8"/>
  <c r="S20" i="8"/>
  <c r="S22" i="8"/>
  <c r="S14" i="8"/>
  <c r="S15" i="8"/>
  <c r="S23" i="8"/>
  <c r="S28" i="8"/>
  <c r="S27" i="8"/>
  <c r="S21" i="8"/>
  <c r="P63" i="8"/>
  <c r="O63" i="8"/>
  <c r="X63" i="8"/>
  <c r="W63" i="8"/>
  <c r="V63" i="8"/>
  <c r="U63" i="8"/>
  <c r="T63" i="8"/>
  <c r="S63" i="8"/>
  <c r="R63" i="8"/>
  <c r="Q63" i="8"/>
  <c r="U29" i="8"/>
  <c r="U30" i="8"/>
  <c r="U14" i="8"/>
  <c r="U22" i="8"/>
  <c r="U20" i="8"/>
  <c r="U31" i="8"/>
  <c r="U16" i="8"/>
  <c r="U23" i="8"/>
  <c r="U28" i="8"/>
  <c r="U15" i="8"/>
  <c r="U21" i="8"/>
  <c r="U27" i="8"/>
  <c r="Y13" i="8" l="1"/>
  <c r="W15" i="8"/>
  <c r="W21" i="8"/>
  <c r="W14" i="8"/>
  <c r="W27" i="8"/>
  <c r="W30" i="8"/>
  <c r="W20" i="8"/>
  <c r="W23" i="8"/>
  <c r="W16" i="8"/>
  <c r="W22" i="8"/>
  <c r="W28" i="8"/>
  <c r="W31" i="8"/>
  <c r="W29" i="8"/>
  <c r="X16" i="8" l="1"/>
  <c r="X20" i="8"/>
  <c r="X27" i="8"/>
  <c r="X15" i="8"/>
  <c r="X28" i="8"/>
  <c r="X23" i="8"/>
  <c r="X21" i="8"/>
  <c r="X14" i="8"/>
  <c r="X22" i="8"/>
  <c r="X29" i="8"/>
  <c r="X31" i="8"/>
  <c r="X30" i="8"/>
  <c r="Q40" i="3" l="1" a="1"/>
  <c r="Q40" i="3" s="1"/>
  <c r="I34" i="3" a="1"/>
  <c r="I34" i="3" s="1"/>
  <c r="Y19" i="8"/>
  <c r="Y26" i="8"/>
  <c r="AA32" i="8"/>
  <c r="AA27" i="8"/>
  <c r="Y21" i="8"/>
  <c r="Y35" i="8"/>
  <c r="Z36" i="8"/>
  <c r="AA16" i="8"/>
  <c r="AA30" i="8"/>
  <c r="Z24" i="8"/>
  <c r="I40" i="3" a="1"/>
  <c r="I40" i="3" s="1"/>
  <c r="AQ22" i="8" s="1"/>
  <c r="M37" i="3" a="1"/>
  <c r="M37" i="3" s="1"/>
  <c r="Y20" i="8"/>
  <c r="Y27" i="8"/>
  <c r="Z32" i="8"/>
  <c r="Y32" i="8"/>
  <c r="Y28" i="8"/>
  <c r="AA28" i="8"/>
  <c r="Z29" i="8"/>
  <c r="Y29" i="8"/>
  <c r="AA37" i="8"/>
  <c r="Y16" i="8"/>
  <c r="Y31" i="8"/>
  <c r="M40" i="3" a="1"/>
  <c r="M40" i="3" s="1"/>
  <c r="AJ36" i="8" s="1"/>
  <c r="Q34" i="3" a="1"/>
  <c r="Q34" i="3" s="1"/>
  <c r="AA20" i="8"/>
  <c r="Z27" i="8"/>
  <c r="Y34" i="8"/>
  <c r="Z35" i="8"/>
  <c r="AA14" i="8"/>
  <c r="Z30" i="8"/>
  <c r="Y23" i="8"/>
  <c r="Z17" i="8"/>
  <c r="Z38" i="8"/>
  <c r="I35" i="3" a="1"/>
  <c r="I35" i="3" s="1"/>
  <c r="Z20" i="8"/>
  <c r="Z28" i="8"/>
  <c r="Y22" i="8"/>
  <c r="Y30" i="8"/>
  <c r="E35" i="3" a="1"/>
  <c r="E35" i="3" s="1"/>
  <c r="E40" i="3" a="1"/>
  <c r="E40" i="3" s="1"/>
  <c r="Z14" i="8"/>
  <c r="Z21" i="8"/>
  <c r="AA35" i="8"/>
  <c r="AA22" i="8"/>
  <c r="AA36" i="8"/>
  <c r="Z16" i="8"/>
  <c r="Z31" i="8"/>
  <c r="Y24" i="8"/>
  <c r="I37" i="3" a="1"/>
  <c r="I37" i="3" s="1"/>
  <c r="Y15" i="8"/>
  <c r="AA29" i="8"/>
  <c r="Z23" i="8"/>
  <c r="AA24" i="8"/>
  <c r="Y17" i="8"/>
  <c r="E36" i="3" a="1"/>
  <c r="E36" i="3" s="1"/>
  <c r="Y14" i="8"/>
  <c r="AA21" i="8"/>
  <c r="Z22" i="8"/>
  <c r="AA23" i="8"/>
  <c r="Y37" i="8"/>
  <c r="AA38" i="8"/>
  <c r="AA31" i="8"/>
  <c r="Q36" i="3" a="1"/>
  <c r="Q36" i="3" s="1"/>
  <c r="M38" i="3" a="1"/>
  <c r="M38" i="3" s="1"/>
  <c r="Y36" i="8"/>
  <c r="E34" i="3" a="1"/>
  <c r="E34" i="3" s="1"/>
  <c r="Q35" i="3" a="1"/>
  <c r="Q35" i="3" s="1"/>
  <c r="Z37" i="8"/>
  <c r="Z15" i="8"/>
  <c r="I36" i="3" a="1"/>
  <c r="I36" i="3" s="1"/>
  <c r="M34" i="3" a="1"/>
  <c r="M34" i="3" s="1"/>
  <c r="AA17" i="8"/>
  <c r="M35" i="3" a="1"/>
  <c r="M35" i="3" s="1"/>
  <c r="Y38" i="8"/>
  <c r="AA15" i="8"/>
  <c r="M36" i="3" a="1"/>
  <c r="M36" i="3" s="1"/>
  <c r="AB28" i="8" l="1" a="1"/>
  <c r="AB28" i="8" s="1"/>
  <c r="AB27" i="8" a="1"/>
  <c r="AB27" i="8" s="1"/>
  <c r="AB37" i="8" a="1"/>
  <c r="AB37" i="8" s="1"/>
  <c r="AB35" i="8" a="1"/>
  <c r="AB35" i="8" s="1"/>
  <c r="AB21" i="8" a="1"/>
  <c r="AB21" i="8" s="1"/>
  <c r="AB24" i="8" a="1"/>
  <c r="AB24" i="8" s="1"/>
  <c r="AB31" i="8" a="1"/>
  <c r="AB31" i="8" s="1"/>
  <c r="AB22" i="8" a="1"/>
  <c r="AB22" i="8" s="1"/>
  <c r="AC38" i="8" a="1"/>
  <c r="AC38" i="8" s="1"/>
  <c r="AD38" i="8"/>
  <c r="AJ33" i="8"/>
  <c r="L37" i="3" a="1"/>
  <c r="L37" i="3" s="1"/>
  <c r="AI33" i="8" s="1"/>
  <c r="AD21" i="8"/>
  <c r="AC21" i="8" a="1"/>
  <c r="AC21" i="8" s="1"/>
  <c r="AQ30" i="8"/>
  <c r="P34" i="3" a="1"/>
  <c r="P34" i="3" s="1"/>
  <c r="AP30" i="8" s="1"/>
  <c r="AC30" i="8" a="1"/>
  <c r="AC30" i="8" s="1"/>
  <c r="AD30" i="8"/>
  <c r="AC20" i="8" a="1"/>
  <c r="AC20" i="8" s="1"/>
  <c r="AD20" i="8"/>
  <c r="AD16" i="8"/>
  <c r="AC16" i="8" a="1"/>
  <c r="AC16" i="8" s="1"/>
  <c r="AJ32" i="8"/>
  <c r="L36" i="3" a="1"/>
  <c r="L36" i="3" s="1"/>
  <c r="AI32" i="8" s="1"/>
  <c r="AJ18" i="8"/>
  <c r="D36" i="3" a="1"/>
  <c r="D36" i="3" s="1"/>
  <c r="AI18" i="8" s="1"/>
  <c r="AB36" i="8" a="1"/>
  <c r="AB36" i="8" s="1"/>
  <c r="AD14" i="8"/>
  <c r="AC14" i="8" a="1"/>
  <c r="AC14" i="8" s="1"/>
  <c r="AD22" i="8"/>
  <c r="AC22" i="8" a="1"/>
  <c r="AC22" i="8" s="1"/>
  <c r="AD15" i="8"/>
  <c r="AC15" i="8" a="1"/>
  <c r="AC15" i="8" s="1"/>
  <c r="AB14" i="8" a="1"/>
  <c r="AB14" i="8" s="1"/>
  <c r="AC17" i="8" a="1"/>
  <c r="AC17" i="8" s="1"/>
  <c r="AD17" i="8"/>
  <c r="AB15" i="8" a="1"/>
  <c r="AB15" i="8" s="1"/>
  <c r="AC24" i="8" a="1"/>
  <c r="AC24" i="8" s="1"/>
  <c r="AD24" i="8"/>
  <c r="AQ18" i="8"/>
  <c r="H36" i="3" a="1"/>
  <c r="H36" i="3" s="1"/>
  <c r="AP18" i="8" s="1"/>
  <c r="AD37" i="8"/>
  <c r="AC37" i="8" a="1"/>
  <c r="AC37" i="8" s="1"/>
  <c r="AQ31" i="8"/>
  <c r="P35" i="3" a="1"/>
  <c r="P35" i="3" s="1"/>
  <c r="AP31" i="8" s="1"/>
  <c r="AD29" i="8"/>
  <c r="AC29" i="8" a="1"/>
  <c r="AC29" i="8" s="1"/>
  <c r="AB20" i="8" a="1"/>
  <c r="AB20" i="8" s="1"/>
  <c r="AD27" i="8"/>
  <c r="AC27" i="8" a="1"/>
  <c r="AC27" i="8" s="1"/>
  <c r="H35" i="3" a="1"/>
  <c r="H35" i="3" s="1"/>
  <c r="AP17" i="8" s="1"/>
  <c r="AQ17" i="8"/>
  <c r="AB29" i="8" a="1"/>
  <c r="AB29" i="8" s="1"/>
  <c r="AC32" i="8" a="1"/>
  <c r="AC32" i="8" s="1"/>
  <c r="AD32" i="8"/>
  <c r="AJ17" i="8"/>
  <c r="D35" i="3" a="1"/>
  <c r="D35" i="3" s="1"/>
  <c r="AI17" i="8" s="1"/>
  <c r="AQ19" i="8"/>
  <c r="H37" i="3" a="1"/>
  <c r="H37" i="3" s="1"/>
  <c r="AP19" i="8" s="1"/>
  <c r="AB38" i="8" a="1"/>
  <c r="AB38" i="8" s="1"/>
  <c r="AC28" i="8" a="1"/>
  <c r="AC28" i="8" s="1"/>
  <c r="AD28" i="8"/>
  <c r="L35" i="3" a="1"/>
  <c r="L35" i="3" s="1"/>
  <c r="AI31" i="8" s="1"/>
  <c r="AJ31" i="8"/>
  <c r="D34" i="3" a="1"/>
  <c r="D34" i="3" s="1"/>
  <c r="AI16" i="8" s="1"/>
  <c r="AJ16" i="8"/>
  <c r="AJ34" i="8"/>
  <c r="L38" i="3" a="1"/>
  <c r="L38" i="3" s="1"/>
  <c r="AI34" i="8" s="1"/>
  <c r="AB17" i="8" a="1"/>
  <c r="AB17" i="8" s="1"/>
  <c r="AC36" i="8" a="1"/>
  <c r="AC36" i="8" s="1"/>
  <c r="AD36" i="8"/>
  <c r="AC35" i="8" a="1"/>
  <c r="AC35" i="8" s="1"/>
  <c r="AD35" i="8"/>
  <c r="E39" i="3"/>
  <c r="AJ22" i="8"/>
  <c r="D25" i="3"/>
  <c r="D26" i="3" s="1"/>
  <c r="H34" i="3" a="1"/>
  <c r="H34" i="3" s="1"/>
  <c r="AP16" i="8" s="1"/>
  <c r="AQ16" i="8"/>
  <c r="AD23" i="8"/>
  <c r="AC23" i="8" a="1"/>
  <c r="AC23" i="8" s="1"/>
  <c r="L34" i="3" a="1"/>
  <c r="L34" i="3" s="1"/>
  <c r="AI30" i="8" s="1"/>
  <c r="AJ30" i="8"/>
  <c r="AB23" i="8" a="1"/>
  <c r="AB23" i="8" s="1"/>
  <c r="AQ32" i="8"/>
  <c r="P36" i="3" a="1"/>
  <c r="P36" i="3" s="1"/>
  <c r="AP32" i="8" s="1"/>
  <c r="AD31" i="8"/>
  <c r="AC31" i="8" a="1"/>
  <c r="AC31" i="8" s="1"/>
  <c r="AB16" i="8" a="1"/>
  <c r="AB16" i="8" s="1"/>
  <c r="AB30" i="8" a="1"/>
  <c r="AB30" i="8" s="1"/>
  <c r="AB32" i="8" a="1"/>
  <c r="AB32" i="8" s="1"/>
  <c r="AQ36" i="8"/>
  <c r="D27" i="3"/>
  <c r="D39" i="3" l="1"/>
  <c r="AI21" i="8" s="1"/>
  <c r="AJ21" i="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<sst xmlns="http://schemas.openxmlformats.org/spreadsheetml/2006/main" count="1017" uniqueCount="394">
  <si>
    <t>Datum</t>
  </si>
  <si>
    <t>Betrag</t>
  </si>
  <si>
    <t>Empfänger</t>
  </si>
  <si>
    <t>Type</t>
  </si>
  <si>
    <t>Kategorie</t>
  </si>
  <si>
    <t>Subkategorie</t>
  </si>
  <si>
    <t>Details</t>
  </si>
  <si>
    <t>Match</t>
  </si>
  <si>
    <t>Fixkosten</t>
  </si>
  <si>
    <t>Variablekosten</t>
  </si>
  <si>
    <t>Var 2</t>
  </si>
  <si>
    <t>Fix 2</t>
  </si>
  <si>
    <t>Investment</t>
  </si>
  <si>
    <t>Data</t>
  </si>
  <si>
    <t>Farben:</t>
  </si>
  <si>
    <t>#3C7D22</t>
  </si>
  <si>
    <t>#92D050</t>
  </si>
  <si>
    <t>#00B0F0</t>
  </si>
  <si>
    <t>#CAE9F6</t>
  </si>
  <si>
    <t>#C00000</t>
  </si>
  <si>
    <t>#FF9F9F</t>
  </si>
  <si>
    <t>#FF731D</t>
  </si>
  <si>
    <t>#FFB78B</t>
  </si>
  <si>
    <t>Dropdown Data</t>
  </si>
  <si>
    <t>KPI Berechnung</t>
  </si>
  <si>
    <t>Jahr Dropdown</t>
  </si>
  <si>
    <t>Periode Dropdown</t>
  </si>
  <si>
    <t>Subkategorien</t>
  </si>
  <si>
    <t>Aktiv</t>
  </si>
  <si>
    <t>Aktuelles Jahr</t>
  </si>
  <si>
    <t>Jahresübersicht</t>
  </si>
  <si>
    <t>Einkommen</t>
  </si>
  <si>
    <t>Passiv</t>
  </si>
  <si>
    <t>Aktueller Monat</t>
  </si>
  <si>
    <t>Calculations</t>
  </si>
  <si>
    <t>Sheet: Tracking</t>
  </si>
  <si>
    <t xml:space="preserve">Heute: </t>
  </si>
  <si>
    <t>Letzter Eintrag:</t>
  </si>
  <si>
    <t>Delta Letzter Eintrag:</t>
  </si>
  <si>
    <t># Einträge:</t>
  </si>
  <si>
    <t># Einträge dieses Jahr:</t>
  </si>
  <si>
    <t>Tracking Bilanz:</t>
  </si>
  <si>
    <t>Bilanz Analyse:</t>
  </si>
  <si>
    <t>Worksheet: Budget Dashboard</t>
  </si>
  <si>
    <t>Selected Year:</t>
  </si>
  <si>
    <t>Selected Period:</t>
  </si>
  <si>
    <t>Selected Period (Display):</t>
  </si>
  <si>
    <t>Days in Period:</t>
  </si>
  <si>
    <t>Days passed in Period:</t>
  </si>
  <si>
    <t>Days passed in Period %:</t>
  </si>
  <si>
    <t>Period Tracking Balannce:</t>
  </si>
  <si>
    <t>Balance Analysis Text:</t>
  </si>
  <si>
    <t>Period Savings Rate:</t>
  </si>
  <si>
    <t>Chart Calculations: Category Distribution Charts</t>
  </si>
  <si>
    <t>Total</t>
  </si>
  <si>
    <t>Chart Calculations: Tracked (vs. Budget) Chart</t>
  </si>
  <si>
    <t>Show Einkommen:</t>
  </si>
  <si>
    <t>Show Fixkosten:</t>
  </si>
  <si>
    <t>Show Variablekosten:</t>
  </si>
  <si>
    <t>Show Investments:</t>
  </si>
  <si>
    <t>Show Rem. Budget:</t>
  </si>
  <si>
    <t>Period in Focus</t>
  </si>
  <si>
    <t>Period not in Focus</t>
  </si>
  <si>
    <t>Chart Calculations: Yearly Development of Typs</t>
  </si>
  <si>
    <t>Month</t>
  </si>
  <si>
    <t>Month Num.</t>
  </si>
  <si>
    <t>In Focus</t>
  </si>
  <si>
    <t>Show Type</t>
  </si>
  <si>
    <t>Show Rem. Budget</t>
  </si>
  <si>
    <t>Tracked</t>
  </si>
  <si>
    <t>Budget</t>
  </si>
  <si>
    <t>Delta</t>
  </si>
  <si>
    <t>In Budget</t>
  </si>
  <si>
    <t>Remaining</t>
  </si>
  <si>
    <t>Excess</t>
  </si>
  <si>
    <t>Subkategorie eingeben...</t>
  </si>
  <si>
    <t>Setting</t>
  </si>
  <si>
    <t>General Setting</t>
  </si>
  <si>
    <t>Start Jahr:</t>
  </si>
  <si>
    <t>Setz das Anfangsjahr (yyyy) und verändere diesen Wert nicht</t>
  </si>
  <si>
    <t xml:space="preserve"> Tracking Setting</t>
  </si>
  <si>
    <t>Monatliches Einkommen:</t>
  </si>
  <si>
    <t>Einkommen's Verschiebung</t>
  </si>
  <si>
    <t>Aktiviere diese Option um Einkommen nach einem bestimmten Tag im Monat, auf den darauffolgenden Monat zuzuschreiben. Dies wird empfohlen falls man das Gehalt am Ende eines Monats bekommt.</t>
  </si>
  <si>
    <t>Starte ab X im Monat</t>
  </si>
  <si>
    <t>KPI Berechnung im Dashboard</t>
  </si>
  <si>
    <t xml:space="preserve"> Sparrate als % des Einkommens</t>
  </si>
  <si>
    <t>Entscheide wie du deine Sparrate auf der KPI berechnen lassen willst :
1) Aktive Option (% allocated to Savings):                                    Sparrate= Savings/Income
2)Passive Option (% not allocated to Expenses):                     Sparrate= (Income - Expenses) / Income</t>
  </si>
  <si>
    <t>Tracking</t>
  </si>
  <si>
    <t>Bilanz</t>
  </si>
  <si>
    <t>Effektiv Datum</t>
  </si>
  <si>
    <t>Kategorie eingeben...</t>
  </si>
  <si>
    <t>Wähle Kategorie...</t>
  </si>
  <si>
    <t>Details eingeben...</t>
  </si>
  <si>
    <t>Ein 1</t>
  </si>
  <si>
    <t>Var 3</t>
  </si>
  <si>
    <t>PLAN</t>
  </si>
  <si>
    <t>übriges Geld:</t>
  </si>
  <si>
    <t>Ein 2</t>
  </si>
  <si>
    <t>Ein 3</t>
  </si>
  <si>
    <t>Gebe Einkommenskategorien ein…</t>
  </si>
  <si>
    <t>Fix 1</t>
  </si>
  <si>
    <t>Fix 3</t>
  </si>
  <si>
    <t>Fix 4</t>
  </si>
  <si>
    <t>Gebe Fixkostenkategorien ein…</t>
  </si>
  <si>
    <t>Var 1</t>
  </si>
  <si>
    <t>Var 4</t>
  </si>
  <si>
    <t>Var 5</t>
  </si>
  <si>
    <t>Gebe Variablekostenkategorien ein…</t>
  </si>
  <si>
    <t>Inv 1</t>
  </si>
  <si>
    <t>Inv 2</t>
  </si>
  <si>
    <t>Inv 3</t>
  </si>
  <si>
    <t>Overview</t>
  </si>
  <si>
    <t>Jahr</t>
  </si>
  <si>
    <t>Anzeigejahr wählen ➜</t>
  </si>
  <si>
    <t>Anzeigeperiode wählen ➜</t>
  </si>
  <si>
    <t>Periode</t>
  </si>
  <si>
    <t>Subkategorien - Totale Kosten</t>
  </si>
  <si>
    <t>row_id</t>
  </si>
  <si>
    <t>header_row_id</t>
  </si>
  <si>
    <t>is_header</t>
  </si>
  <si>
    <t>is_cat</t>
  </si>
  <si>
    <t>is_total</t>
  </si>
  <si>
    <t>is_empty</t>
  </si>
  <si>
    <t>type</t>
  </si>
  <si>
    <t>item</t>
  </si>
  <si>
    <t>tracked</t>
  </si>
  <si>
    <t>budget</t>
  </si>
  <si>
    <t>sort_min_row</t>
  </si>
  <si>
    <t>sort_max_row</t>
  </si>
  <si>
    <t>tracked_range</t>
  </si>
  <si>
    <t>tracked_rank</t>
  </si>
  <si>
    <t>budget_range</t>
  </si>
  <si>
    <t>budget_rank</t>
  </si>
  <si>
    <t>comb_rank</t>
  </si>
  <si>
    <t>comb_rank_range</t>
  </si>
  <si>
    <t>comb_rank_norm</t>
  </si>
  <si>
    <t>comb_rank_norm_run_range</t>
  </si>
  <si>
    <t>comb_rank_unique</t>
  </si>
  <si>
    <t>sorted_row_id [Lookup]</t>
  </si>
  <si>
    <t>Datum eingeben...</t>
  </si>
  <si>
    <t>Type eingeben...</t>
  </si>
  <si>
    <t>Betrag eingeben...</t>
  </si>
  <si>
    <t>Add new Transaction:</t>
  </si>
  <si>
    <t>Datum:</t>
  </si>
  <si>
    <t>Type:</t>
  </si>
  <si>
    <t>Kategorie:</t>
  </si>
  <si>
    <t>Subkategorie:</t>
  </si>
  <si>
    <t>Betrag:</t>
  </si>
  <si>
    <t>Empfänger:</t>
  </si>
  <si>
    <t>Details:</t>
  </si>
  <si>
    <t>Kategorie (dyn)</t>
  </si>
  <si>
    <t>Subkategorie (dyn)</t>
  </si>
  <si>
    <t>döner</t>
  </si>
  <si>
    <t>Templates</t>
  </si>
  <si>
    <t>Kat_Einkommen</t>
  </si>
  <si>
    <t>Kat_Fixkosten</t>
  </si>
  <si>
    <t>Kat_Variablekosten</t>
  </si>
  <si>
    <t>Kat_Investment</t>
  </si>
  <si>
    <t>Hier sind die Regeln für Transaktionen die einer klaren Struktur folgen. In der Tabelle "Match" werden die Schlagwörter eingegeben nach denen die Regeln etabliert werden soll. Dies schaut in die Spalten "Empfänger" &amp; "Details"</t>
  </si>
  <si>
    <t>Chart Calculations: Subkategorie (filtered)</t>
  </si>
  <si>
    <t>OHL</t>
  </si>
  <si>
    <t>Warhammer</t>
  </si>
  <si>
    <t>Lidl</t>
  </si>
  <si>
    <t>Essen</t>
  </si>
  <si>
    <t>VISA LIDL SAGT DANKE</t>
  </si>
  <si>
    <t>MANNHEIM    DE</t>
  </si>
  <si>
    <t>VISA MCDONALDS 01850</t>
  </si>
  <si>
    <t>KRONAU      DE</t>
  </si>
  <si>
    <t>VISA REWE WAGHAEUSEL WA</t>
  </si>
  <si>
    <t>WAGHAEUSEL  DE</t>
  </si>
  <si>
    <t>OHL CONNECT GMBH + CO.KG</t>
  </si>
  <si>
    <t>4320702281 Abo Warhammer Combat Patrol Premium 62 bis 67</t>
  </si>
  <si>
    <t>PAYPAL</t>
  </si>
  <si>
    <t>INSTANT TRANSFER</t>
  </si>
  <si>
    <t>VISA WELLHUB KEVIN SIESS</t>
  </si>
  <si>
    <t>SCHIPHOL    NL</t>
  </si>
  <si>
    <t>VISA WWW.AMAZON.* NN56S7PU4</t>
  </si>
  <si>
    <t>LUXEMBOURG  LU</t>
  </si>
  <si>
    <t>VISA PBW PARKEN DHBW P5</t>
  </si>
  <si>
    <t>VISA DISPLATE COM</t>
  </si>
  <si>
    <t>MAZOWIECKIE PL</t>
  </si>
  <si>
    <t>VISA STEAMGAMES.COM 4259522</t>
  </si>
  <si>
    <t>HAMBURG     DE</t>
  </si>
  <si>
    <t>PayPal Europe S.a.r.l. et Cie S.C.A</t>
  </si>
  <si>
    <t>1049881150068/PP.6185.PP/. PatreonIreland Limited, Ihr Einkauf bei Patreon Ireland Limited</t>
  </si>
  <si>
    <t>VISA APOTHEKE AM KREUZ</t>
  </si>
  <si>
    <t>VISA PBW PARKEN DHBW P4</t>
  </si>
  <si>
    <t>VISA SHELL 1514</t>
  </si>
  <si>
    <t>Kevin Siess</t>
  </si>
  <si>
    <t>Eckhardt Sies</t>
  </si>
  <si>
    <t>Anteil ESG Goldverkauf</t>
  </si>
  <si>
    <t>1049807335280/. eBay S.a r.l., IhrEinkauf bei eBay S.a r.l., Artikel-</t>
  </si>
  <si>
    <t>ACCENTURE TECHNOLOGY SOLUTIONS B.V</t>
  </si>
  <si>
    <t>LOHN / GEHALT         04/26</t>
  </si>
  <si>
    <t>VISA GOOGLE*GOOGLE PLAY APP</t>
  </si>
  <si>
    <t>IRELAND     IE</t>
  </si>
  <si>
    <t>Coinbase Ireland Limited</t>
  </si>
  <si>
    <t>Thank you for shopping at CoinbaseIreland Limited. Your mandate is 9d11d095c658b7932c7e77b6a938741a.</t>
  </si>
  <si>
    <t>Motor Guzzi Verkauf</t>
  </si>
  <si>
    <t>1049674956216/PP.6185.PP/. Takeaway.com Payments B.V., Ihr Einkauf beiTakeaway.com Payments B.V.</t>
  </si>
  <si>
    <t>VISA WARHAMMER MANNHEIM</t>
  </si>
  <si>
    <t>VISA OBSIDIAN</t>
  </si>
  <si>
    <t>OAKVILLE    CAKURS       1.1676000</t>
  </si>
  <si>
    <t>VISA SPC*XIA MALATANG MA GM</t>
  </si>
  <si>
    <t>VISA 4546 XXXX XXXX 1993   AUSLANDSEINSATZENTGELT     VISA CARD (DEBITKARTE)     ARN74083426102100009332963</t>
  </si>
  <si>
    <t>VISA SPARGEL- &amp; BEERENHOF S</t>
  </si>
  <si>
    <t>VISA GLOBUS BAUMARKT</t>
  </si>
  <si>
    <t>VISA AMAZON* NB4PY80A4</t>
  </si>
  <si>
    <t>VISA AMAZON* NB0WB62G4</t>
  </si>
  <si>
    <t>1049347335004/PP.6185.PP/. Riot Games, Limited, Ihr Einkauf bei Riot Games, Limited</t>
  </si>
  <si>
    <t>1049347446684/PP.6185.PP/. Riot Games, Limited, Ihr Einkauf bei Riot Games, Limited</t>
  </si>
  <si>
    <t>1049364724919/PP.6185.PP/. , Ihr Einkauf bei</t>
  </si>
  <si>
    <t>0015466701 2026-03-31</t>
  </si>
  <si>
    <t>VISA AMAZON* NB6YN0OB4</t>
  </si>
  <si>
    <t>DB Vertrieb GmbH</t>
  </si>
  <si>
    <t>Abo 834349967 zum 01.04.2026</t>
  </si>
  <si>
    <t>VISA NETTO MARKEN-DISCOUNT</t>
  </si>
  <si>
    <t>VISA BOWLINGC. SCHWETZINGEN</t>
  </si>
  <si>
    <t>SCHWETZINGE DE</t>
  </si>
  <si>
    <t>VISA SP CORSAIR</t>
  </si>
  <si>
    <t>MUNCHEN     DE</t>
  </si>
  <si>
    <t>1049210209544/PP.6185.PP/. Takeaway.com Payments B.V., Ihr Einkauf beiTakeaway.com Payments B.V.</t>
  </si>
  <si>
    <t>VISA ALTES BRAUHAUS KOBLENZ</t>
  </si>
  <si>
    <t>KOBLENZ     DE</t>
  </si>
  <si>
    <t>VISA ANTONIUS-APOTHEKE</t>
  </si>
  <si>
    <t>VISA RESTAURANT CASINO</t>
  </si>
  <si>
    <t>VISA SUMUP  *EGELOSIA GMBH</t>
  </si>
  <si>
    <t>VISA SKYGLIDE EVENT DEUTSCH</t>
  </si>
  <si>
    <t>1049191008734/PP.6185.PP/. , Ihr Einkauf bei</t>
  </si>
  <si>
    <t>Bargeldauszahlung VISA Card TRANSACT  22207265</t>
  </si>
  <si>
    <t>KOBLENZ     DE                           BARGELDAUSZAHLUNG          26.03                 50.00164947                     ARN74665686085000160972084</t>
  </si>
  <si>
    <t>VISA RESTAURANT LA MAMMA</t>
  </si>
  <si>
    <t>1049167032044/PP.6185.PP/. , Ihr Einkauf bei</t>
  </si>
  <si>
    <t>Ihr Auftrag 375444172697 vom 23.03.2026</t>
  </si>
  <si>
    <t>1049135428940/PP.6185.PP/. , Ihr Einkauf bei</t>
  </si>
  <si>
    <t>LOHN / GEHALT         03/26</t>
  </si>
  <si>
    <t>1049124656994/PP.6185.PP/. , Ihr Einkauf bei</t>
  </si>
  <si>
    <t>Bargeldauszahlung VISA Card VOLKSBANK KRAICHGAU</t>
  </si>
  <si>
    <t>KIRRLACH    DE                           BARGELDAUSZAHLUNG          21.03                 50.00095538                     ARN74049296081001359272228</t>
  </si>
  <si>
    <t>VISA GOOGLE PLAY APPS</t>
  </si>
  <si>
    <t>DUBLIN      IE</t>
  </si>
  <si>
    <t>4320615515 Abo Warhammer Combat Patrol Premium 56 bis 61</t>
  </si>
  <si>
    <t>eBay S.a.r.l.</t>
  </si>
  <si>
    <t>P.7394239184</t>
  </si>
  <si>
    <t>0015366717 2026-03-15</t>
  </si>
  <si>
    <t>1048991371135/PP.6185.PP/. , Ihr Einkauf bei</t>
  </si>
  <si>
    <t>1048970690669/PP.6185.PP/. , Ihr Einkauf bei</t>
  </si>
  <si>
    <t>VISA AMZN MKTP DE*UO9AR7RK5</t>
  </si>
  <si>
    <t>AMZN.COM/BI LU</t>
  </si>
  <si>
    <t>VISA AMAZON* LV50617N5</t>
  </si>
  <si>
    <t>P.7379592632</t>
  </si>
  <si>
    <t>1048815179733/. eBay S.a r.l., IhrEinkauf bei eBay S.a r.l., Artikel-</t>
  </si>
  <si>
    <t>1048738519553/PP.6185.PP/. , Ihr Einkauf bei</t>
  </si>
  <si>
    <t>1048726775726/PP.6185.PP/. SuzushiiClothing, Ihr Einkauf bei SuzushiiClothing</t>
  </si>
  <si>
    <t>VISA AMZN MKTP DE*QB6GS3RK5</t>
  </si>
  <si>
    <t>P.7365742232</t>
  </si>
  <si>
    <t>VISA MCDONALDS00897</t>
  </si>
  <si>
    <t>KARLSRUHE   DE</t>
  </si>
  <si>
    <t>VISA MARKTLUECKE GMBH CO KG</t>
  </si>
  <si>
    <t>VISA AMAZON.DE*HP7JN7Z15</t>
  </si>
  <si>
    <t>AMAZON.DE   LU</t>
  </si>
  <si>
    <t>VISA AMAZON* 399NS3HK5</t>
  </si>
  <si>
    <t>VISA GASTHAUS MARKTLUECKE</t>
  </si>
  <si>
    <t>Abo 834349967 zum 01.03.2026</t>
  </si>
  <si>
    <t>VISA AMZN MKTP DE*UB79G5CW5</t>
  </si>
  <si>
    <t>1048551109884/PP.6185.PP/. , Ihr Einkauf bei</t>
  </si>
  <si>
    <t>4320573007 Abo Warhammer Combat Patrol Premium 50 bis 55 mit</t>
  </si>
  <si>
    <t>Duale Hochschule Baden-Wuerttemberg</t>
  </si>
  <si>
    <t>1364413 MA Siess Kevin</t>
  </si>
  <si>
    <t>Amazon Digital Germany GmbH</t>
  </si>
  <si>
    <t>VISA AMAZON* FO93U8KD5</t>
  </si>
  <si>
    <t>LUXEMBOURG  LU                           GUTSCHRIFTSBELEG           24.02                  9.99135051</t>
  </si>
  <si>
    <t>VISA AMAZON* 6S40W20W5</t>
  </si>
  <si>
    <t>LUXEMBOURG  LU                           GUTSCHRIFTSBELEG           24.02                 10.44134543</t>
  </si>
  <si>
    <t>VISA AMAZON* 1X9RR9BW5</t>
  </si>
  <si>
    <t>VISA WWW.AMAZON.* OG9A24WQ5</t>
  </si>
  <si>
    <t>1048420508552/. eBay S.a r.l., IhrEinkauf bei eBay S.a r.l., Artikel-</t>
  </si>
  <si>
    <t>Bargeldauszahlung VISA Card SPARKASSE KARLSRUHE</t>
  </si>
  <si>
    <t>KIRRLACH    DE                           BARGELDAUSZAHLUNG          20.02                 50.00143721                     ARN74579846051060517875070</t>
  </si>
  <si>
    <t>LOHN / GEHALT         02/26</t>
  </si>
  <si>
    <t>0015236737 2026-02-15</t>
  </si>
  <si>
    <t>1048329053964/PP.6185.PP/. , Ihr Einkauf bei</t>
  </si>
  <si>
    <t>P.7336948160</t>
  </si>
  <si>
    <t>1048206117476/. Transactial Limited, Ihr Einkauf bei Transactial Limited</t>
  </si>
  <si>
    <t>VISA AMZN MKTP DE</t>
  </si>
  <si>
    <t>AMZN.COM/BI LU                           GUTSCHRIFTSBELEG           09.02                 30.59</t>
  </si>
  <si>
    <t>Globus Einkauf vom 31.01.2026 Liferando Einkauf REWE Einkauf vom 06.02.2026</t>
  </si>
  <si>
    <t>1048141999610/. eBay S.a r.l., IhrEinkauf bei eBay S.a r.l., Artikel-</t>
  </si>
  <si>
    <t>AMZN.COM/BI LU                           GUTSCHRIFTSBELEG           06.02                 27.99</t>
  </si>
  <si>
    <t>VISA AMZN MKTP DE*YO3LA4YT5</t>
  </si>
  <si>
    <t>Kevin Sies</t>
  </si>
  <si>
    <t>4320528023 Abo Warhammer Combat Patrol Premium 44 bis 49</t>
  </si>
  <si>
    <t>VISA AMZN MKTP DE*G75EZ4X55</t>
  </si>
  <si>
    <t>0015156866 2026-01-31</t>
  </si>
  <si>
    <t>AMZN.COM/BI LU                           GUTSCHRIFTSBELEG           04.02                 42.27</t>
  </si>
  <si>
    <t>1048031718448/PP.6185.PP/. CoinbaseIreland Limited, Ihr Einkauf bei Coinbase Ireland Limited</t>
  </si>
  <si>
    <t>Abo 834349967 zum 01.02.2026</t>
  </si>
  <si>
    <t>PayPal (Europe) S.a r.l. et Cie, S.C.A.</t>
  </si>
  <si>
    <t>1047960629102 PP.6185.PP . , Ihr Einkauf bei</t>
  </si>
  <si>
    <t>1047970605141/PP.6185.PP/. , Ihr Einkauf bei</t>
  </si>
  <si>
    <t>1047926166144/. eBay S.a r.l., IhrEinkauf bei eBay S.a r.l., Artikel-</t>
  </si>
  <si>
    <t>VISA REWE ANDRE UTAY OH</t>
  </si>
  <si>
    <t>FRANKFURT A DE</t>
  </si>
  <si>
    <t>VISA AMZN MKTP DE*EC8GJ9ZI5</t>
  </si>
  <si>
    <t>VISA BURGER KING 25667</t>
  </si>
  <si>
    <t>1047819766703/PP.6185.PP/. , Ihr Einkauf bei</t>
  </si>
  <si>
    <t>LOHN / GEHALT         01/26</t>
  </si>
  <si>
    <t>1047780469690/PP.6185.PP/. , Ihr Einkauf bei</t>
  </si>
  <si>
    <t>P.7294281296</t>
  </si>
  <si>
    <t>0015076796 2026-01-15</t>
  </si>
  <si>
    <t>1047742695028/PP.6185.PP/. DeutschePost AG, Ihr Einkauf bei DeutschePost AG</t>
  </si>
  <si>
    <t>VISA DEUTSCHE POST AG</t>
  </si>
  <si>
    <t>WAGHAUSEL   DE</t>
  </si>
  <si>
    <t>Ausgleich</t>
  </si>
  <si>
    <t>1047482742312/PP.6185.PP/. DeutschePost AG, Ihr Einkauf bei DeutschePost AG</t>
  </si>
  <si>
    <t>1047485794345/. eBay S.a r.l., IhrEinkauf bei eBay S.a r.l., Artikel-</t>
  </si>
  <si>
    <t>4320497505 Abo Warhammer Combat Patrol Premium 38 bis 43</t>
  </si>
  <si>
    <t>VISA STEAM PURCHASE</t>
  </si>
  <si>
    <t>SEATTLE     DE</t>
  </si>
  <si>
    <t>PayPal (Europe) S.a r.l. et Cie,  S.C.A.</t>
  </si>
  <si>
    <t>1047341378080/PP.6185.PP/. , Ihr Einkauf bei</t>
  </si>
  <si>
    <t>1047387688322/. LUXOR FTB Englert GmbH . Co. KG, Ihr Einkauf bei LUXORFTB Englert GmbH . Co. KG</t>
  </si>
  <si>
    <t>Abo 834349967 zum 01.01.2026</t>
  </si>
  <si>
    <t>VISA GLOBUS MARKTHALLE</t>
  </si>
  <si>
    <t>WAGH USEL   DE</t>
  </si>
  <si>
    <t>Wuertt. Gemeinde-Versicherung a.G.</t>
  </si>
  <si>
    <t>KA-YR 58 V90102361664 R5812920487 01.01.2026-01.01.2027</t>
  </si>
  <si>
    <t>PayPal (Europe) S.a r.l. et Cie,S.C.A.</t>
  </si>
  <si>
    <t>VISA WELLHUB EU</t>
  </si>
  <si>
    <t>Abo 834349967 zum 01.12.2025</t>
  </si>
  <si>
    <t>1047122484243/. eBay S.a r.l., IhrEinkauf bei eBay S.a r.l., Artikel-</t>
  </si>
  <si>
    <t>1047111004605/PP.6185.PP/. , Ihr Einkauf bei</t>
  </si>
  <si>
    <t>1047111000130/PP.6185.PP/. , Ihr Einkauf bei</t>
  </si>
  <si>
    <t>LOHN / GEHALT         12/25</t>
  </si>
  <si>
    <t>G.CO/HELPPA IE</t>
  </si>
  <si>
    <t>VISA AMAZON* ZP7PB1LQ4</t>
  </si>
  <si>
    <t>VISA LIEFERANDO.DE LIEFERSE</t>
  </si>
  <si>
    <t>AMSTERDAM   NL</t>
  </si>
  <si>
    <t>1046905550639/PP.6185.PP/. , Ihr Einkauf bei</t>
  </si>
  <si>
    <t>VISA AMZN MKTP DE*Z99T61B04</t>
  </si>
  <si>
    <t>VISA AMAZON PRIM* Z96AF6GL4</t>
  </si>
  <si>
    <t>VISA GLOBUS TANKSTELLE</t>
  </si>
  <si>
    <t>VISA LUXOR FTB ENGLERT GMBH</t>
  </si>
  <si>
    <t>WALLDORF    DE</t>
  </si>
  <si>
    <t>VISA DISNEY PLUS</t>
  </si>
  <si>
    <t>HOOFDDORP   NL</t>
  </si>
  <si>
    <t>1046676611795/PP.6185.PP/. HerrKlotz, Ihr Einkauf bei HerrKlotz</t>
  </si>
  <si>
    <t>VISA AMAZON.DE*ZX9SD1HR4</t>
  </si>
  <si>
    <t>VISA AMAZON.DE*ZX4WN1254</t>
  </si>
  <si>
    <t>PayPal</t>
  </si>
  <si>
    <t>VISA AMAZON.DE*ZX5JJ1XY4</t>
  </si>
  <si>
    <t>VISA AMZN MKTP DE*ZR4FQ5D94</t>
  </si>
  <si>
    <t>VISA SUMUP  *ZAHNARZTPRAXIS</t>
  </si>
  <si>
    <t>eBay-Penny-Test</t>
  </si>
  <si>
    <t>KIRRLACH    DE                           BARGELDAUSZAHLUNG          28.11                 50.00101123                     ARN74579845332053327273019</t>
  </si>
  <si>
    <t>Eckhardt Siess</t>
  </si>
  <si>
    <t>P.7201470104</t>
  </si>
  <si>
    <t>VISA AMZN MKTP DE*ZL0A20DW4</t>
  </si>
  <si>
    <t>VISA AMAZON.DE*ZL5MG84F4</t>
  </si>
  <si>
    <t>VISA AMAZON.DE</t>
  </si>
  <si>
    <t>AMAZON.DE   LU                           GUTSCHRIFTSBELEG           22.11                159.99</t>
  </si>
  <si>
    <t>LOHN / GEHALT         11/25</t>
  </si>
  <si>
    <t>VISA AMAZON.DE*Z36DM4D24</t>
  </si>
  <si>
    <t>4320367315 77,94 / 4320418946 77,94/ Gebuehr Ruecklastschrift 5,24 /Zahlungseingang -83,18</t>
  </si>
  <si>
    <t>VISA AD FREE FOR *Z379O1ER4</t>
  </si>
  <si>
    <t>4.4-2012E+1 LU</t>
  </si>
  <si>
    <t>1046293039590/. eBay S.a r.l., IhrEinkauf bei eBay S.a r.l., Artikel-</t>
  </si>
  <si>
    <t>1046259906851/PP.6185.PP/. www.steampowered.com, Ihr Einkauf bei www.steampowered.com</t>
  </si>
  <si>
    <t>Sies, Kevin</t>
  </si>
  <si>
    <t>Ubertragung</t>
  </si>
  <si>
    <t>1046106192957/PP.6185.PP/. , Ihr Einkauf bei</t>
  </si>
  <si>
    <t>VISA BLIZZARD *EU311587448</t>
  </si>
  <si>
    <t>CORK        IE</t>
  </si>
  <si>
    <t>1046060302459/PP.6185.PP/. YABA International GmbH, Ihr Einkauf bei YABA International GmbH</t>
  </si>
  <si>
    <t>1046059550442/PP.6185.PP/. Takeaway.com Payments B.V., Ihr Einkauf beiTakeaway.com Payments B.V.</t>
  </si>
  <si>
    <t>VISA AMAZON* AP8P35YM5</t>
  </si>
  <si>
    <t>VISA CINEPLEX BRUCHSAL</t>
  </si>
  <si>
    <t>BRUCHSAL    DE</t>
  </si>
  <si>
    <t>VISA SP DECKBUTTONS4956</t>
  </si>
  <si>
    <t>DECKBUTTONS US</t>
  </si>
  <si>
    <t>1045940681036/PP.6185.PP/. , Ihr Einkauf bei</t>
  </si>
  <si>
    <t>1045924604541/PP.6185.PP/. , Ihr Einkauf bei</t>
  </si>
  <si>
    <t>1045860775773/PP.6185.PP/. , Ihr Einkauf bei</t>
  </si>
  <si>
    <t>VISA AMAZON* 9D3I20EI5</t>
  </si>
  <si>
    <t>Ohl Connect GmbH + Co. KG</t>
  </si>
  <si>
    <t>404315404  Kundennummer: 7296241</t>
  </si>
  <si>
    <t>1045787389334/PP.6185.PP/. , Ihr Einkauf bei</t>
  </si>
  <si>
    <t>1045787382470/PP.6185.PP/. , Ihr Einkauf bei</t>
  </si>
  <si>
    <t>LOHN / GEHALT         10/25</t>
  </si>
  <si>
    <t>Rewe</t>
  </si>
  <si>
    <t>Wellhub</t>
  </si>
  <si>
    <t>1050021941023/. Cineplex Deutschland GmbH .amp, Co.KG, Ihr Einkauf beiCineplex Deutschland GmbH .amp, Co.KG</t>
  </si>
  <si>
    <t>Abo 834349967 zum 01.05.2026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</si>
</sst>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 #,##0.00\ &quot;€&quot;_-;\-* #,##0.00\ &quot;€&quot;_-;_-* &quot;-&quot;??\ &quot;€&quot;_-;_-@_-"/>
    <numFmt numFmtId="164" formatCode="mmm"/>
    <numFmt numFmtId="165" formatCode="_-* #,##0.00\ [$€-407]_-;\-* #,##0.00\ [$€-407]_-;_-* &quot;-&quot;??\ [$€-407]_-;_-@_-"/>
    <numFmt numFmtId="166" formatCode="#,##0.00\ &quot;€&quot;"/>
    <numFmt numFmtId="167" formatCode="[$-407]d/\ mmm\ yy;@"/>
    <numFmt numFmtId="168" formatCode="mmmm"/>
    <numFmt numFmtId="169" formatCode="dd/\ mmm\ yyyy"/>
    <numFmt numFmtId="170" formatCode="_-* #,##0\ &quot;€&quot;_-;\-* #,##0\ &quot;€&quot;_-;_-* &quot;-&quot;??\ &quot;€&quot;_-;_-@_-"/>
    <numFmt numFmtId="171" formatCode="_-* #,##0\ [$€-407]_-;\-* #,##0\ [$€-407]_-;_-* &quot;-&quot;??\ [$€-407]_-;_-@_-"/>
    <numFmt numFmtId="172" formatCode="dd/mm/yyyy;;&quot;Datum eingeben...&quot;"/>
  </numFmts>
  <fonts count="34" x14ac:knownFonts="1">
    <font>
      <sz val="11"/>
      <color theme="1"/>
      <name val="Aptos Narrow"/>
      <family val="2"/>
      <scheme val="minor"/>
    </font>
    <font>
      <b/>
      <sz val="11"/>
      <color theme="0"/>
      <name val="Aptos Narrow"/>
      <family val="2"/>
      <scheme val="minor"/>
    </font>
    <font>
      <b/>
      <sz val="11"/>
      <color theme="1"/>
      <name val="Aptos Narrow"/>
      <family val="2"/>
      <scheme val="minor"/>
    </font>
    <font>
      <b/>
      <sz val="28"/>
      <color theme="0"/>
      <name val="Arial Black"/>
      <family val="2"/>
    </font>
    <font>
      <sz val="28"/>
      <color theme="0"/>
      <name val="Aptos Narrow"/>
      <family val="2"/>
      <scheme val="minor"/>
    </font>
    <font>
      <sz val="11"/>
      <color theme="2" tint="-0.249977111117893"/>
      <name val="Aptos Narrow"/>
      <family val="2"/>
      <scheme val="minor"/>
    </font>
    <font>
      <sz val="11"/>
      <color theme="1"/>
      <name val="Aptos Narrow"/>
      <family val="2"/>
      <scheme val="minor"/>
    </font>
    <font>
      <b/>
      <sz val="14"/>
      <color theme="0"/>
      <name val="Aptos Narrow"/>
      <family val="2"/>
      <scheme val="minor"/>
    </font>
    <font>
      <i/>
      <sz val="11"/>
      <color theme="1" tint="0.499984740745262"/>
      <name val="Aptos Narrow"/>
      <family val="2"/>
      <scheme val="minor"/>
    </font>
    <font>
      <i/>
      <sz val="11"/>
      <color theme="2" tint="-0.249977111117893"/>
      <name val="Aptos Narrow"/>
      <family val="2"/>
      <scheme val="minor"/>
    </font>
    <font>
      <sz val="11"/>
      <color theme="0" tint="-0.499984740745262"/>
      <name val="Aptos Narrow"/>
      <family val="2"/>
      <scheme val="minor"/>
    </font>
    <font>
      <b/>
      <sz val="11"/>
      <color theme="0" tint="-0.499984740745262"/>
      <name val="Aptos Narrow"/>
      <family val="2"/>
      <scheme val="minor"/>
    </font>
    <font>
      <sz val="28"/>
      <color theme="0"/>
      <name val="Aptos Black"/>
      <family val="2"/>
    </font>
    <font>
      <sz val="12"/>
      <color theme="1"/>
      <name val="Aptos Narrow"/>
      <family val="2"/>
      <scheme val="minor"/>
    </font>
    <font>
      <i/>
      <sz val="12"/>
      <color theme="1"/>
      <name val="Aptos Narrow"/>
      <family val="2"/>
      <scheme val="minor"/>
    </font>
    <font>
      <b/>
      <sz val="12"/>
      <color theme="1"/>
      <name val="Aptos Narrow"/>
      <family val="2"/>
      <scheme val="minor"/>
    </font>
    <font>
      <sz val="11"/>
      <color theme="1" tint="0.499984740745262"/>
      <name val="Aptos Narrow"/>
      <family val="2"/>
      <scheme val="minor"/>
    </font>
    <font>
      <sz val="11"/>
      <color theme="1"/>
      <name val="Calibri"/>
      <family val="2"/>
    </font>
    <font>
      <b/>
      <sz val="11"/>
      <color theme="1"/>
      <name val="Calibri"/>
      <family val="2"/>
    </font>
    <font>
      <sz val="9"/>
      <name val="Aptos Narrow"/>
      <family val="2"/>
      <scheme val="minor"/>
    </font>
    <font>
      <sz val="8"/>
      <color theme="1"/>
      <name val="Calibri"/>
      <family val="2"/>
    </font>
    <font>
      <sz val="10"/>
      <color theme="1"/>
      <name val="Calibri"/>
      <family val="2"/>
    </font>
    <font>
      <b/>
      <sz val="10"/>
      <color theme="1"/>
      <name val="Calibri"/>
      <family val="2"/>
    </font>
    <font>
      <b/>
      <sz val="11"/>
      <color theme="0"/>
      <name val="Calibri"/>
      <family val="2"/>
    </font>
    <font>
      <b/>
      <sz val="11"/>
      <name val="Calibri"/>
      <family val="2"/>
    </font>
    <font>
      <sz val="11"/>
      <name val="Calibri"/>
      <family val="2"/>
    </font>
    <font>
      <b/>
      <sz val="11"/>
      <name val="Aptos Narrow"/>
      <family val="2"/>
      <scheme val="minor"/>
    </font>
    <font>
      <sz val="8"/>
      <color rgb="FF000000"/>
      <name val="Segoe UI"/>
      <family val="2"/>
    </font>
    <font>
      <sz val="8"/>
      <name val="Aptos Narrow"/>
      <family val="2"/>
      <scheme val="minor"/>
    </font>
    <font>
      <sz val="11"/>
      <color rgb="FF808080"/>
      <name val="Aptos Narrow"/>
      <family val="2"/>
      <scheme val="minor"/>
    </font>
    <font>
      <b/>
      <sz val="11"/>
      <color rgb="FF808080"/>
      <name val="Aptos Narrow"/>
      <family val="2"/>
      <scheme val="minor"/>
    </font>
    <font>
      <i/>
      <sz val="11"/>
      <color rgb="FFADADAD"/>
      <name val="Aptos Narrow"/>
      <family val="2"/>
      <scheme val="minor"/>
    </font>
    <font>
      <i/>
      <sz val="12"/>
      <color rgb="FFADADAD"/>
      <name val="Aptos Narrow"/>
      <family val="2"/>
      <scheme val="minor"/>
    </font>
    <font>
      <sz val="12"/>
      <color theme="2" tint="-0.499984740745262"/>
      <name val="Aptos Narrow"/>
      <family val="2"/>
      <scheme val="minor"/>
    </font>
  </fonts>
  <fills count="20">
    <fill>
      <patternFill patternType="none"/>
    </fill>
    <fill>
      <patternFill patternType="gray125"/>
    </fill>
    <fill>
      <patternFill patternType="solid">
        <fgColor theme="2" tint="-0.749992370372631"/>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00B0F0"/>
        <bgColor indexed="64"/>
      </patternFill>
    </fill>
    <fill>
      <patternFill patternType="solid">
        <fgColor theme="9" tint="-0.249977111117893"/>
        <bgColor indexed="64"/>
      </patternFill>
    </fill>
    <fill>
      <patternFill patternType="solid">
        <fgColor rgb="FFC00000"/>
        <bgColor indexed="64"/>
      </patternFill>
    </fill>
    <fill>
      <patternFill patternType="solid">
        <fgColor rgb="FFFF731D"/>
        <bgColor indexed="64"/>
      </patternFill>
    </fill>
    <fill>
      <patternFill patternType="solid">
        <fgColor rgb="FFFFB78B"/>
        <bgColor indexed="64"/>
      </patternFill>
    </fill>
    <fill>
      <patternFill patternType="solid">
        <fgColor theme="1" tint="0.24994659260841701"/>
        <bgColor indexed="64"/>
      </patternFill>
    </fill>
    <fill>
      <patternFill patternType="solid">
        <fgColor theme="0" tint="-0.34998626667073579"/>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rgb="FFCAE9F6"/>
        <bgColor indexed="64"/>
      </patternFill>
    </fill>
    <fill>
      <patternFill patternType="solid">
        <fgColor rgb="FFFF9F9F"/>
        <bgColor indexed="64"/>
      </patternFill>
    </fill>
    <fill>
      <patternFill patternType="solid">
        <fgColor rgb="FF92D050"/>
        <bgColor indexed="64"/>
      </patternFill>
    </fill>
    <fill>
      <patternFill patternType="solid">
        <fgColor theme="3"/>
        <bgColor indexed="64"/>
      </patternFill>
    </fill>
    <fill>
      <patternFill patternType="solid">
        <fgColor theme="5"/>
        <bgColor indexed="64"/>
      </patternFill>
    </fill>
  </fills>
  <borders count="3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style="thin">
        <color theme="0" tint="-0.34998626667073579"/>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dotted">
        <color theme="1" tint="0.499984740745262"/>
      </bottom>
      <diagonal/>
    </border>
    <border>
      <left style="thin">
        <color indexed="64"/>
      </left>
      <right/>
      <top/>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right/>
      <top style="double">
        <color indexed="64"/>
      </top>
      <bottom/>
      <diagonal/>
    </border>
    <border>
      <left/>
      <right/>
      <top style="hair">
        <color indexed="64"/>
      </top>
      <bottom style="double">
        <color indexed="64"/>
      </bottom>
      <diagonal/>
    </border>
    <border>
      <left/>
      <right/>
      <top style="hair">
        <color auto="1"/>
      </top>
      <bottom/>
      <diagonal/>
    </border>
    <border>
      <left/>
      <right/>
      <top style="thin">
        <color theme="1"/>
      </top>
      <bottom style="thin">
        <color theme="1"/>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s>
  <cellStyleXfs count="3">
    <xf numFmtId="0" fontId="0" fillId="0" borderId="0">
      <alignment wrapText="1"/>
    </xf>
    <xf numFmtId="44" fontId="6" fillId="0" borderId="0"/>
    <xf numFmtId="9" fontId="6" fillId="0" borderId="0"/>
  </cellStyleXfs>
  <cellXfs count="201">
    <xf numFmtId="0" fontId="0" fillId="0" borderId="0" xfId="0">
      <alignment wrapText="1"/>
    </xf>
    <xf numFmtId="0" fontId="0" fillId="0" borderId="4" xfId="0" applyBorder="1">
      <alignment wrapText="1"/>
    </xf>
    <xf numFmtId="0" fontId="0" fillId="0" borderId="5" xfId="0" applyBorder="1">
      <alignment wrapText="1"/>
    </xf>
    <xf numFmtId="0" fontId="0" fillId="0" borderId="6" xfId="0" applyBorder="1">
      <alignment wrapText="1"/>
    </xf>
    <xf numFmtId="0" fontId="0" fillId="0" borderId="7" xfId="0" applyBorder="1">
      <alignment wrapText="1"/>
    </xf>
    <xf numFmtId="0" fontId="0" fillId="0" borderId="8" xfId="0" applyBorder="1">
      <alignment wrapText="1"/>
    </xf>
    <xf numFmtId="0" fontId="0" fillId="0" borderId="0" xfId="0"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0" fillId="0" borderId="7" xfId="0" applyBorder="1" applyAlignment="1">
      <alignment horizontal="center"/>
    </xf>
    <xf numFmtId="0" fontId="0" fillId="3" borderId="0" xfId="0" applyFill="1">
      <alignment wrapText="1"/>
    </xf>
    <xf numFmtId="0" fontId="5" fillId="0" borderId="5" xfId="0" applyFont="1" applyBorder="1">
      <alignment wrapText="1"/>
    </xf>
    <xf numFmtId="0" fontId="8" fillId="0" borderId="0" xfId="0" applyFont="1" applyAlignment="1">
      <alignment horizontal="right"/>
    </xf>
    <xf numFmtId="0" fontId="0" fillId="5" borderId="0" xfId="0" applyFill="1">
      <alignment wrapText="1"/>
    </xf>
    <xf numFmtId="0" fontId="1" fillId="6" borderId="0" xfId="0" applyFont="1" applyFill="1" applyAlignment="1">
      <alignment horizontal="left" indent="1"/>
    </xf>
    <xf numFmtId="164" fontId="1" fillId="6" borderId="0" xfId="0" applyNumberFormat="1" applyFont="1" applyFill="1" applyAlignment="1">
      <alignment horizontal="center"/>
    </xf>
    <xf numFmtId="0" fontId="1" fillId="6" borderId="0" xfId="0" applyFont="1" applyFill="1" applyAlignment="1">
      <alignment horizontal="center"/>
    </xf>
    <xf numFmtId="0" fontId="2" fillId="0" borderId="10" xfId="0" applyFont="1" applyBorder="1" applyAlignment="1">
      <alignment horizontal="left" indent="1"/>
    </xf>
    <xf numFmtId="0" fontId="10" fillId="0" borderId="0" xfId="0" applyFont="1" applyAlignment="1">
      <alignment horizontal="left" indent="1"/>
    </xf>
    <xf numFmtId="44" fontId="10" fillId="0" borderId="10" xfId="1" applyFont="1" applyBorder="1"/>
    <xf numFmtId="44" fontId="2" fillId="0" borderId="10" xfId="1" applyFont="1" applyBorder="1"/>
    <xf numFmtId="44" fontId="11" fillId="0" borderId="10" xfId="1" applyFont="1" applyBorder="1"/>
    <xf numFmtId="0" fontId="1" fillId="7" borderId="0" xfId="0" applyFont="1" applyFill="1" applyAlignment="1">
      <alignment horizontal="left" indent="1"/>
    </xf>
    <xf numFmtId="164" fontId="1" fillId="7" borderId="0" xfId="0" applyNumberFormat="1" applyFont="1" applyFill="1" applyAlignment="1">
      <alignment horizontal="center"/>
    </xf>
    <xf numFmtId="0" fontId="1" fillId="7" borderId="0" xfId="0" applyFont="1" applyFill="1" applyAlignment="1">
      <alignment horizontal="center"/>
    </xf>
    <xf numFmtId="0" fontId="0" fillId="7" borderId="0" xfId="0" applyFill="1">
      <alignment wrapText="1"/>
    </xf>
    <xf numFmtId="0" fontId="1" fillId="6" borderId="10" xfId="0" applyFont="1" applyFill="1" applyBorder="1" applyAlignment="1">
      <alignment horizontal="left" indent="1"/>
    </xf>
    <xf numFmtId="0" fontId="0" fillId="8" borderId="0" xfId="0" applyFill="1">
      <alignment wrapText="1"/>
    </xf>
    <xf numFmtId="0" fontId="0" fillId="8" borderId="0" xfId="0" applyFill="1" applyAlignment="1">
      <alignment horizontal="left" indent="1"/>
    </xf>
    <xf numFmtId="164" fontId="1" fillId="8" borderId="0" xfId="0" applyNumberFormat="1" applyFont="1" applyFill="1" applyAlignment="1">
      <alignment horizontal="center"/>
    </xf>
    <xf numFmtId="0" fontId="1" fillId="8" borderId="0" xfId="0" applyFont="1" applyFill="1" applyAlignment="1">
      <alignment horizontal="center"/>
    </xf>
    <xf numFmtId="0" fontId="0" fillId="9" borderId="0" xfId="0" applyFill="1">
      <alignment wrapText="1"/>
    </xf>
    <xf numFmtId="164" fontId="1" fillId="5" borderId="0" xfId="0" applyNumberFormat="1" applyFont="1" applyFill="1" applyAlignment="1">
      <alignment horizontal="center"/>
    </xf>
    <xf numFmtId="0" fontId="1" fillId="5" borderId="0" xfId="0" applyFont="1" applyFill="1" applyAlignment="1">
      <alignment horizontal="center"/>
    </xf>
    <xf numFmtId="0" fontId="0" fillId="5" borderId="0" xfId="0" applyFill="1" applyAlignment="1">
      <alignment horizontal="left" indent="1"/>
    </xf>
    <xf numFmtId="0" fontId="2" fillId="0" borderId="9" xfId="0" applyFont="1" applyBorder="1" applyAlignment="1">
      <alignment horizontal="center" vertical="center"/>
    </xf>
    <xf numFmtId="0" fontId="2" fillId="0" borderId="9" xfId="0" applyFont="1" applyBorder="1" applyAlignment="1">
      <alignment horizontal="center"/>
    </xf>
    <xf numFmtId="165" fontId="0" fillId="0" borderId="9" xfId="0" applyNumberFormat="1" applyBorder="1" applyAlignment="1">
      <alignment horizontal="left" indent="2"/>
    </xf>
    <xf numFmtId="165" fontId="2" fillId="0" borderId="9" xfId="0" applyNumberFormat="1" applyFont="1" applyBorder="1" applyAlignment="1">
      <alignment horizontal="left" indent="2"/>
    </xf>
    <xf numFmtId="0" fontId="4" fillId="2" borderId="0" xfId="0" applyFont="1" applyFill="1">
      <alignment wrapText="1"/>
    </xf>
    <xf numFmtId="0" fontId="0" fillId="0" borderId="0" xfId="0" applyAlignment="1">
      <alignment horizontal="left" vertical="center" indent="1"/>
    </xf>
    <xf numFmtId="0" fontId="0" fillId="11" borderId="0" xfId="0" applyFill="1" applyAlignment="1">
      <alignment horizontal="left" vertical="center" indent="1"/>
    </xf>
    <xf numFmtId="0" fontId="1" fillId="10" borderId="11" xfId="0" applyFont="1" applyFill="1" applyBorder="1" applyAlignment="1">
      <alignment horizontal="left" vertical="center" indent="1"/>
    </xf>
    <xf numFmtId="15" fontId="0" fillId="0" borderId="0" xfId="0" applyNumberFormat="1">
      <alignment wrapText="1"/>
    </xf>
    <xf numFmtId="0" fontId="0" fillId="0" borderId="1" xfId="0" applyBorder="1">
      <alignment wrapText="1"/>
    </xf>
    <xf numFmtId="0" fontId="0" fillId="0" borderId="2" xfId="0" applyBorder="1" applyAlignment="1">
      <alignment horizontal="center"/>
    </xf>
    <xf numFmtId="0" fontId="0" fillId="0" borderId="2" xfId="0" applyBorder="1">
      <alignment wrapText="1"/>
    </xf>
    <xf numFmtId="0" fontId="0" fillId="0" borderId="2" xfId="0" applyBorder="1" applyAlignment="1">
      <alignment horizontal="center" vertical="center"/>
    </xf>
    <xf numFmtId="0" fontId="0" fillId="0" borderId="3" xfId="0" applyBorder="1">
      <alignment wrapText="1"/>
    </xf>
    <xf numFmtId="0" fontId="15" fillId="0" borderId="0" xfId="0" applyFont="1">
      <alignment wrapText="1"/>
    </xf>
    <xf numFmtId="167" fontId="13" fillId="0" borderId="0" xfId="0" applyNumberFormat="1" applyFont="1">
      <alignment wrapText="1"/>
    </xf>
    <xf numFmtId="0" fontId="0" fillId="0" borderId="0" xfId="0" applyAlignment="1">
      <alignment horizontal="right"/>
    </xf>
    <xf numFmtId="166" fontId="0" fillId="0" borderId="0" xfId="0" applyNumberFormat="1">
      <alignment wrapText="1"/>
    </xf>
    <xf numFmtId="0" fontId="1" fillId="10" borderId="17" xfId="0" applyFont="1" applyFill="1"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168" fontId="0" fillId="0" borderId="18" xfId="0" applyNumberFormat="1" applyBorder="1" applyAlignment="1">
      <alignment horizontal="center" vertical="center"/>
    </xf>
    <xf numFmtId="0" fontId="0" fillId="0" borderId="19" xfId="0" applyBorder="1">
      <alignment wrapText="1"/>
    </xf>
    <xf numFmtId="0" fontId="9" fillId="0" borderId="0" xfId="0" applyFont="1">
      <alignment wrapText="1"/>
    </xf>
    <xf numFmtId="0" fontId="9" fillId="0" borderId="7" xfId="0" applyFont="1" applyBorder="1">
      <alignment wrapText="1"/>
    </xf>
    <xf numFmtId="0" fontId="13" fillId="0" borderId="0" xfId="0" applyFont="1" applyAlignment="1">
      <alignment horizontal="left" vertical="center" indent="1"/>
    </xf>
    <xf numFmtId="166" fontId="13" fillId="0" borderId="0" xfId="0" applyNumberFormat="1" applyFont="1" applyAlignment="1">
      <alignment horizontal="right" vertical="center" indent="1"/>
    </xf>
    <xf numFmtId="0" fontId="17" fillId="0" borderId="20" xfId="0" applyFont="1" applyBorder="1" applyAlignment="1">
      <alignment horizontal="right"/>
    </xf>
    <xf numFmtId="0" fontId="20" fillId="13" borderId="0" xfId="0" applyFont="1" applyFill="1" applyAlignment="1">
      <alignment horizontal="center" vertical="center"/>
    </xf>
    <xf numFmtId="0" fontId="20" fillId="13" borderId="22" xfId="0" applyFont="1" applyFill="1" applyBorder="1" applyAlignment="1">
      <alignment horizontal="center" vertical="center"/>
    </xf>
    <xf numFmtId="0" fontId="17" fillId="0" borderId="4" xfId="0" applyFont="1" applyBorder="1">
      <alignment wrapText="1"/>
    </xf>
    <xf numFmtId="0" fontId="17" fillId="0" borderId="0" xfId="0" applyFont="1">
      <alignment wrapText="1"/>
    </xf>
    <xf numFmtId="0" fontId="17" fillId="0" borderId="5" xfId="0" applyFont="1" applyBorder="1">
      <alignment wrapText="1"/>
    </xf>
    <xf numFmtId="0" fontId="18" fillId="0" borderId="0" xfId="0" applyFont="1">
      <alignment wrapText="1"/>
    </xf>
    <xf numFmtId="0" fontId="17" fillId="0" borderId="0" xfId="0" applyFont="1" applyAlignment="1">
      <alignment horizontal="right"/>
    </xf>
    <xf numFmtId="9" fontId="17" fillId="0" borderId="0" xfId="2" applyFont="1"/>
    <xf numFmtId="170" fontId="17" fillId="0" borderId="0" xfId="0" applyNumberFormat="1" applyFont="1">
      <alignment wrapText="1"/>
    </xf>
    <xf numFmtId="0" fontId="19" fillId="13" borderId="23" xfId="0" applyFont="1" applyFill="1" applyBorder="1" applyAlignment="1">
      <alignment horizontal="center" vertical="center"/>
    </xf>
    <xf numFmtId="0" fontId="19" fillId="13" borderId="24" xfId="0" applyFont="1" applyFill="1" applyBorder="1" applyAlignment="1">
      <alignment horizontal="center" vertical="center"/>
    </xf>
    <xf numFmtId="0" fontId="20" fillId="13" borderId="23" xfId="0" applyFont="1" applyFill="1" applyBorder="1" applyAlignment="1">
      <alignment horizontal="center" vertical="center"/>
    </xf>
    <xf numFmtId="0" fontId="20" fillId="13" borderId="4" xfId="0" applyFont="1" applyFill="1" applyBorder="1" applyAlignment="1">
      <alignment horizontal="center" vertical="center"/>
    </xf>
    <xf numFmtId="0" fontId="20" fillId="13" borderId="5" xfId="0" applyFont="1" applyFill="1" applyBorder="1" applyAlignment="1">
      <alignment horizontal="center" vertical="center"/>
    </xf>
    <xf numFmtId="0" fontId="20" fillId="13" borderId="18" xfId="0" applyFont="1" applyFill="1" applyBorder="1" applyAlignment="1">
      <alignment horizontal="center" vertical="center"/>
    </xf>
    <xf numFmtId="0" fontId="1" fillId="12" borderId="1" xfId="0" applyFont="1" applyFill="1" applyBorder="1" applyAlignment="1">
      <alignment horizontal="left" vertical="center"/>
    </xf>
    <xf numFmtId="0" fontId="1" fillId="12" borderId="3" xfId="0" applyFont="1" applyFill="1" applyBorder="1" applyAlignment="1">
      <alignment horizontal="left" vertical="center"/>
    </xf>
    <xf numFmtId="0" fontId="1" fillId="12" borderId="2" xfId="0" applyFont="1" applyFill="1" applyBorder="1" applyAlignment="1">
      <alignment horizontal="left" vertical="center"/>
    </xf>
    <xf numFmtId="0" fontId="1" fillId="12" borderId="25" xfId="0" applyFont="1" applyFill="1" applyBorder="1" applyAlignment="1">
      <alignment horizontal="left" vertical="center"/>
    </xf>
    <xf numFmtId="0" fontId="0" fillId="0" borderId="0" xfId="0" applyAlignment="1">
      <alignment vertical="center"/>
    </xf>
    <xf numFmtId="0" fontId="0" fillId="0" borderId="4" xfId="0" applyBorder="1" applyAlignment="1">
      <alignment vertical="center"/>
    </xf>
    <xf numFmtId="0" fontId="0" fillId="0" borderId="5" xfId="0" applyBorder="1" applyAlignment="1">
      <alignment vertical="center"/>
    </xf>
    <xf numFmtId="166" fontId="0" fillId="0" borderId="0" xfId="0" applyNumberFormat="1" applyAlignment="1">
      <alignment vertical="center"/>
    </xf>
    <xf numFmtId="166" fontId="0" fillId="0" borderId="5" xfId="0" applyNumberFormat="1" applyBorder="1" applyAlignment="1">
      <alignmen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8" xfId="0" applyBorder="1" applyAlignment="1">
      <alignment vertical="center"/>
    </xf>
    <xf numFmtId="9" fontId="0" fillId="0" borderId="0" xfId="2" applyFont="1" applyAlignment="1">
      <alignment horizontal="center" vertical="center"/>
    </xf>
    <xf numFmtId="44" fontId="0" fillId="0" borderId="0" xfId="1" applyFont="1" applyAlignment="1">
      <alignment horizontal="center" vertical="center"/>
    </xf>
    <xf numFmtId="44" fontId="10" fillId="16" borderId="10" xfId="1" applyFont="1" applyFill="1" applyBorder="1"/>
    <xf numFmtId="44" fontId="10" fillId="15" borderId="10" xfId="1" applyFont="1" applyFill="1" applyBorder="1"/>
    <xf numFmtId="0" fontId="10" fillId="17" borderId="10" xfId="0" applyFont="1" applyFill="1" applyBorder="1" applyAlignment="1">
      <alignment horizontal="left" indent="1"/>
    </xf>
    <xf numFmtId="0" fontId="0" fillId="0" borderId="26" xfId="0" applyBorder="1">
      <alignment wrapText="1"/>
    </xf>
    <xf numFmtId="0" fontId="0" fillId="0" borderId="22" xfId="0" applyBorder="1">
      <alignment wrapText="1"/>
    </xf>
    <xf numFmtId="0" fontId="0" fillId="0" borderId="27" xfId="0" applyBorder="1">
      <alignment wrapText="1"/>
    </xf>
    <xf numFmtId="0" fontId="0" fillId="0" borderId="21" xfId="0" applyBorder="1">
      <alignment wrapText="1"/>
    </xf>
    <xf numFmtId="0" fontId="0" fillId="0" borderId="16" xfId="0" applyBorder="1">
      <alignment wrapText="1"/>
    </xf>
    <xf numFmtId="0" fontId="0" fillId="0" borderId="28" xfId="0" applyBorder="1">
      <alignment wrapText="1"/>
    </xf>
    <xf numFmtId="0" fontId="0" fillId="0" borderId="29" xfId="0" applyBorder="1">
      <alignment wrapText="1"/>
    </xf>
    <xf numFmtId="0" fontId="0" fillId="0" borderId="30" xfId="0" applyBorder="1">
      <alignment wrapText="1"/>
    </xf>
    <xf numFmtId="0" fontId="0" fillId="0" borderId="31" xfId="0" applyBorder="1">
      <alignment wrapText="1"/>
    </xf>
    <xf numFmtId="0" fontId="2" fillId="0" borderId="31" xfId="0" applyFont="1" applyBorder="1">
      <alignment wrapText="1"/>
    </xf>
    <xf numFmtId="0" fontId="18" fillId="0" borderId="29" xfId="0" applyFont="1" applyBorder="1" applyAlignment="1">
      <alignment horizontal="center"/>
    </xf>
    <xf numFmtId="0" fontId="17" fillId="0" borderId="0" xfId="0" applyFont="1" applyAlignment="1">
      <alignment horizontal="center"/>
    </xf>
    <xf numFmtId="170" fontId="17" fillId="0" borderId="0" xfId="1" applyNumberFormat="1" applyFont="1" applyAlignment="1">
      <alignment horizontal="center"/>
    </xf>
    <xf numFmtId="0" fontId="17" fillId="0" borderId="32" xfId="0" applyFont="1" applyBorder="1" applyAlignment="1">
      <alignment horizontal="center"/>
    </xf>
    <xf numFmtId="0" fontId="18" fillId="0" borderId="32" xfId="0" applyFont="1" applyBorder="1" applyAlignment="1">
      <alignment horizontal="center"/>
    </xf>
    <xf numFmtId="170" fontId="18" fillId="0" borderId="32" xfId="1" applyNumberFormat="1" applyFont="1" applyBorder="1" applyAlignment="1">
      <alignment horizontal="center"/>
    </xf>
    <xf numFmtId="0" fontId="17" fillId="0" borderId="33" xfId="0" applyFont="1" applyBorder="1" applyAlignment="1">
      <alignment horizontal="center"/>
    </xf>
    <xf numFmtId="0" fontId="21" fillId="0" borderId="0" xfId="0" applyFont="1" applyAlignment="1">
      <alignment horizontal="left" indent="1"/>
    </xf>
    <xf numFmtId="44" fontId="21" fillId="0" borderId="0" xfId="0" applyNumberFormat="1" applyFont="1" applyAlignment="1">
      <alignment horizontal="center"/>
    </xf>
    <xf numFmtId="0" fontId="22" fillId="0" borderId="34" xfId="0" applyFont="1" applyBorder="1" applyAlignment="1">
      <alignment horizontal="left" indent="1"/>
    </xf>
    <xf numFmtId="44" fontId="22" fillId="0" borderId="34" xfId="0" applyNumberFormat="1" applyFont="1" applyBorder="1" applyAlignment="1">
      <alignment horizontal="center"/>
    </xf>
    <xf numFmtId="170" fontId="18" fillId="0" borderId="0" xfId="1" applyNumberFormat="1" applyFont="1" applyAlignment="1">
      <alignment horizontal="center"/>
    </xf>
    <xf numFmtId="170" fontId="17" fillId="0" borderId="33" xfId="0" applyNumberFormat="1" applyFont="1" applyBorder="1" applyAlignment="1">
      <alignment horizontal="center"/>
    </xf>
    <xf numFmtId="0" fontId="17" fillId="0" borderId="35" xfId="0" applyFont="1" applyBorder="1">
      <alignment wrapText="1"/>
    </xf>
    <xf numFmtId="0" fontId="18" fillId="0" borderId="29" xfId="0" applyFont="1" applyBorder="1" applyAlignment="1">
      <alignment horizontal="center" vertical="center"/>
    </xf>
    <xf numFmtId="0" fontId="24" fillId="0" borderId="29" xfId="0" applyFont="1" applyBorder="1" applyAlignment="1">
      <alignment horizontal="center" vertical="center"/>
    </xf>
    <xf numFmtId="171" fontId="17" fillId="0" borderId="0" xfId="0" applyNumberFormat="1" applyFont="1" applyAlignment="1">
      <alignment horizontal="center"/>
    </xf>
    <xf numFmtId="171" fontId="25" fillId="0" borderId="0" xfId="0" applyNumberFormat="1" applyFont="1" applyAlignment="1">
      <alignment horizontal="center" vertical="center"/>
    </xf>
    <xf numFmtId="0" fontId="17" fillId="0" borderId="29" xfId="0" applyFont="1" applyBorder="1" applyAlignment="1">
      <alignment horizontal="center"/>
    </xf>
    <xf numFmtId="0" fontId="26" fillId="0" borderId="35" xfId="0" applyFont="1" applyBorder="1">
      <alignment wrapText="1"/>
    </xf>
    <xf numFmtId="0" fontId="2" fillId="0" borderId="0" xfId="0" applyFont="1">
      <alignment wrapText="1"/>
    </xf>
    <xf numFmtId="0" fontId="0" fillId="19" borderId="0" xfId="0" applyFill="1" applyAlignment="1">
      <alignment vertical="center"/>
    </xf>
    <xf numFmtId="9" fontId="0" fillId="0" borderId="0" xfId="2" applyFont="1"/>
    <xf numFmtId="0" fontId="0" fillId="0" borderId="0" xfId="0" applyAlignment="1">
      <alignment horizontal="left"/>
    </xf>
    <xf numFmtId="0" fontId="0" fillId="13" borderId="0" xfId="0" applyFill="1">
      <alignment wrapText="1"/>
    </xf>
    <xf numFmtId="0" fontId="2" fillId="0" borderId="0" xfId="0" applyFont="1" applyAlignment="1">
      <alignment horizontal="center"/>
    </xf>
    <xf numFmtId="0" fontId="0" fillId="3" borderId="0" xfId="0" applyFill="1" applyAlignment="1">
      <alignment horizontal="center" vertical="center"/>
    </xf>
    <xf numFmtId="1" fontId="0" fillId="3" borderId="0" xfId="0" applyNumberFormat="1" applyFill="1" applyAlignment="1">
      <alignment horizontal="center" vertical="center"/>
    </xf>
    <xf numFmtId="0" fontId="4" fillId="2" borderId="0" xfId="0" applyFont="1" applyFill="1" applyAlignment="1">
      <alignment horizontal="left"/>
    </xf>
    <xf numFmtId="0" fontId="14" fillId="0" borderId="0" xfId="0" applyFont="1" applyAlignment="1">
      <alignment horizontal="left" vertical="center" indent="1"/>
    </xf>
    <xf numFmtId="172" fontId="0" fillId="0" borderId="0" xfId="0" applyNumberFormat="1" applyAlignment="1">
      <alignment horizontal="center"/>
    </xf>
    <xf numFmtId="0" fontId="0" fillId="0" borderId="0" xfId="0" applyAlignment="1"/>
    <xf numFmtId="0" fontId="0" fillId="0" borderId="0" xfId="0" applyAlignment="1">
      <alignment horizontal="center" vertical="center" wrapText="1"/>
    </xf>
    <xf numFmtId="0" fontId="29" fillId="0" borderId="0" xfId="0" applyFont="1" applyAlignment="1">
      <alignment horizontal="left" indent="1"/>
    </xf>
    <xf numFmtId="0" fontId="29" fillId="0" borderId="0" xfId="0" applyFont="1" applyAlignment="1"/>
    <xf numFmtId="44" fontId="29" fillId="0" borderId="10" xfId="1" applyFont="1" applyBorder="1"/>
    <xf numFmtId="44" fontId="30" fillId="0" borderId="10" xfId="1" applyFont="1" applyBorder="1"/>
    <xf numFmtId="0" fontId="2" fillId="0" borderId="4" xfId="0" applyFont="1" applyBorder="1" applyAlignment="1">
      <alignment horizontal="center" wrapText="1"/>
    </xf>
    <xf numFmtId="0" fontId="2" fillId="0" borderId="5" xfId="0" applyFont="1" applyBorder="1" applyAlignment="1">
      <alignment horizontal="center"/>
    </xf>
    <xf numFmtId="0" fontId="31" fillId="0" borderId="0" xfId="0" applyFont="1" applyAlignment="1">
      <alignment horizontal="left"/>
    </xf>
    <xf numFmtId="0" fontId="31" fillId="0" borderId="0" xfId="0" applyFont="1" applyAlignment="1">
      <alignment horizontal="left" wrapText="1"/>
    </xf>
    <xf numFmtId="166" fontId="32" fillId="0" borderId="0" xfId="0" applyNumberFormat="1" applyFont="1" applyAlignment="1">
      <alignment horizontal="left" vertical="center" indent="1"/>
    </xf>
    <xf numFmtId="0" fontId="31" fillId="0" borderId="5" xfId="0" applyFont="1" applyBorder="1" applyAlignment="1">
      <alignment horizontal="left" wrapText="1"/>
    </xf>
    <xf numFmtId="14" fontId="31" fillId="0" borderId="4" xfId="0" applyNumberFormat="1" applyFont="1" applyBorder="1" applyAlignment="1">
      <alignment horizontal="left" wrapText="1"/>
    </xf>
    <xf numFmtId="0" fontId="0" fillId="0" borderId="0" xfId="0" applyAlignment="1">
      <alignment horizontal="right" wrapText="1"/>
    </xf>
    <xf numFmtId="14" fontId="0" fillId="0" borderId="0" xfId="0" applyNumberFormat="1" applyAlignment="1">
      <alignment horizontal="center" wrapText="1"/>
    </xf>
    <xf numFmtId="14" fontId="0" fillId="0" borderId="0" xfId="0" applyNumberFormat="1" applyAlignment="1">
      <alignment horizontal="center"/>
    </xf>
    <xf numFmtId="14" fontId="0" fillId="0" borderId="0" xfId="0" applyNumberFormat="1" applyAlignment="1">
      <alignment horizontal="center" vertical="center" wrapText="1"/>
    </xf>
    <xf numFmtId="0" fontId="0" fillId="3" borderId="0" xfId="0" applyFill="1" applyAlignment="1">
      <alignment horizontal="center" vertical="center"/>
      <extLst>
        <ext xmlns:xfpb="http://schemas.microsoft.com/office/spreadsheetml/2022/featurepropertybag" uri="{C7286773-470A-42A8-94C5-96B5CB345126}">
          <xfpb:xfComplement i="0"/>
        </ext>
      </extLst>
    </xf>
    <xf numFmtId="166" fontId="2" fillId="0" borderId="0" xfId="0" applyNumberFormat="1" applyFont="1">
      <alignment wrapText="1"/>
    </xf>
    <xf numFmtId="0" fontId="0" fillId="0" borderId="9" xfId="0" applyBorder="1">
      <alignment wrapText="1"/>
    </xf>
    <xf numFmtId="0" fontId="2" fillId="13" borderId="9" xfId="0" applyFont="1" applyFill="1" applyBorder="1" applyAlignment="1">
      <alignment horizontal="left" wrapText="1"/>
    </xf>
    <xf numFmtId="0" fontId="31" fillId="0" borderId="0" xfId="0" applyFont="1" applyAlignment="1"/>
    <xf numFmtId="14" fontId="0" fillId="0" borderId="0" xfId="0" applyNumberFormat="1">
      <alignment wrapText="1"/>
    </xf>
    <xf numFmtId="0" fontId="0" fillId="0" borderId="22" xfId="0" applyBorder="1" applyAlignment="1">
      <alignment horizontal="center" vertical="center" wrapText="1"/>
    </xf>
    <xf numFmtId="169" fontId="13" fillId="0" borderId="0" xfId="0" applyNumberFormat="1" applyFont="1" applyAlignment="1">
      <alignment horizontal="left" vertical="center" indent="1"/>
    </xf>
    <xf numFmtId="0" fontId="13" fillId="0" borderId="0" xfId="0" applyFont="1" applyAlignment="1">
      <alignment indent="1"/>
    </xf>
    <xf numFmtId="169" fontId="33" fillId="0" borderId="0" xfId="0" applyNumberFormat="1" applyFont="1" applyAlignment="1">
      <alignment horizontal="right" vertical="center" indent="1"/>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9" fillId="0" borderId="4" xfId="0" applyFont="1" applyBorder="1" applyAlignment="1">
      <alignment horizontal="center" vertical="top" wrapText="1"/>
    </xf>
    <xf numFmtId="0" fontId="9" fillId="0" borderId="0" xfId="0" applyFont="1" applyAlignment="1">
      <alignment horizontal="center" vertical="top" wrapText="1"/>
    </xf>
    <xf numFmtId="0" fontId="9" fillId="0" borderId="5" xfId="0" applyFont="1" applyBorder="1" applyAlignment="1">
      <alignment horizontal="center" vertical="top" wrapText="1"/>
    </xf>
    <xf numFmtId="0" fontId="9" fillId="0" borderId="6" xfId="0" applyFont="1" applyBorder="1" applyAlignment="1">
      <alignment horizontal="center" vertical="top" wrapText="1"/>
    </xf>
    <xf numFmtId="0" fontId="9" fillId="0" borderId="7" xfId="0" applyFont="1" applyBorder="1" applyAlignment="1">
      <alignment horizontal="center" vertical="top" wrapText="1"/>
    </xf>
    <xf numFmtId="0" fontId="9" fillId="0" borderId="8" xfId="0" applyFont="1" applyBorder="1" applyAlignment="1">
      <alignment horizontal="center" vertical="top" wrapText="1"/>
    </xf>
    <xf numFmtId="0" fontId="3" fillId="2" borderId="0" xfId="0" applyFont="1" applyFill="1" applyAlignment="1">
      <alignment horizontal="center"/>
    </xf>
    <xf numFmtId="0" fontId="4" fillId="2" borderId="0" xfId="0" applyFont="1" applyFill="1">
      <alignment wrapText="1"/>
    </xf>
    <xf numFmtId="0" fontId="3" fillId="2" borderId="0" xfId="0" applyFont="1" applyFill="1" applyAlignment="1">
      <alignment horizontal="left"/>
    </xf>
    <xf numFmtId="0" fontId="1" fillId="10" borderId="17" xfId="0" applyFont="1" applyFill="1" applyBorder="1" applyAlignment="1">
      <alignment horizontal="center" vertical="center"/>
    </xf>
    <xf numFmtId="0" fontId="0" fillId="0" borderId="12" xfId="0" applyBorder="1" applyAlignment="1"/>
    <xf numFmtId="0" fontId="0" fillId="0" borderId="13" xfId="0" applyBorder="1" applyAlignment="1"/>
    <xf numFmtId="164" fontId="17" fillId="0" borderId="22" xfId="0" applyNumberFormat="1" applyFont="1" applyBorder="1" applyAlignment="1">
      <alignment horizontal="center" vertical="center"/>
    </xf>
    <xf numFmtId="0" fontId="0" fillId="0" borderId="0" xfId="0" applyAlignment="1"/>
    <xf numFmtId="0" fontId="24" fillId="4" borderId="0" xfId="0" applyFont="1" applyFill="1" applyAlignment="1">
      <alignment horizontal="center" vertical="center"/>
    </xf>
    <xf numFmtId="0" fontId="23" fillId="18" borderId="0" xfId="0" applyFont="1" applyFill="1" applyAlignment="1">
      <alignment horizontal="center" vertical="center"/>
    </xf>
    <xf numFmtId="164" fontId="17" fillId="0" borderId="36" xfId="0" applyNumberFormat="1" applyFont="1" applyBorder="1" applyAlignment="1">
      <alignment horizontal="center" vertical="center"/>
    </xf>
    <xf numFmtId="0" fontId="0" fillId="0" borderId="29" xfId="0" applyBorder="1" applyAlignment="1"/>
    <xf numFmtId="0" fontId="1" fillId="10" borderId="17" xfId="0" applyFont="1" applyFill="1" applyBorder="1" applyAlignment="1">
      <alignment horizontal="left" vertical="center" indent="1"/>
    </xf>
    <xf numFmtId="0" fontId="9" fillId="0" borderId="0" xfId="0" applyFont="1" applyAlignment="1">
      <alignment horizontal="left" wrapText="1"/>
    </xf>
    <xf numFmtId="0" fontId="0" fillId="0" borderId="0" xfId="0">
      <alignment wrapText="1"/>
    </xf>
    <xf numFmtId="0" fontId="9" fillId="0" borderId="0" xfId="0" applyFont="1" applyAlignment="1">
      <alignment horizontal="left" vertical="top" wrapText="1"/>
    </xf>
    <xf numFmtId="0" fontId="1" fillId="2" borderId="25" xfId="0" applyFont="1" applyFill="1" applyBorder="1" applyAlignment="1">
      <alignment horizontal="center"/>
    </xf>
    <xf numFmtId="0" fontId="0" fillId="0" borderId="2" xfId="0" applyBorder="1" applyAlignment="1"/>
    <xf numFmtId="0" fontId="0" fillId="0" borderId="3" xfId="0" applyBorder="1" applyAlignment="1"/>
    <xf numFmtId="0" fontId="7" fillId="4" borderId="0" xfId="0" applyFont="1" applyFill="1" applyAlignment="1">
      <alignment horizontal="center"/>
    </xf>
    <xf numFmtId="0" fontId="12" fillId="2" borderId="0" xfId="0" applyFont="1" applyFill="1" applyAlignment="1">
      <alignment horizontal="left" vertical="center"/>
    </xf>
    <xf numFmtId="0" fontId="1" fillId="12" borderId="0" xfId="0" applyFont="1" applyFill="1" applyAlignment="1">
      <alignment horizontal="center" vertical="center"/>
    </xf>
    <xf numFmtId="0" fontId="0" fillId="14" borderId="38" xfId="0" applyFill="1" applyBorder="1" applyAlignment="1">
      <alignment horizontal="center" vertical="center"/>
    </xf>
    <xf numFmtId="0" fontId="0" fillId="0" borderId="15" xfId="0" applyBorder="1" applyAlignment="1"/>
    <xf numFmtId="0" fontId="15" fillId="0" borderId="37" xfId="0" applyFont="1" applyBorder="1" applyAlignment="1">
      <alignment horizontal="center" vertical="center"/>
    </xf>
    <xf numFmtId="0" fontId="0" fillId="0" borderId="14" xfId="0" applyBorder="1" applyAlignment="1"/>
    <xf numFmtId="0" fontId="16" fillId="0" borderId="16" xfId="0" applyFont="1" applyBorder="1" applyAlignment="1">
      <alignment horizontal="center"/>
    </xf>
    <xf numFmtId="0" fontId="0" fillId="0" borderId="16" xfId="0" applyBorder="1" applyAlignment="1"/>
    <xf numFmtId="168" fontId="0" fillId="14" borderId="38" xfId="0" applyNumberFormat="1" applyFill="1" applyBorder="1" applyAlignment="1">
      <alignment horizontal="center" vertical="center"/>
    </xf>
  </cellXfs>
  <cellStyles count="3">
    <cellStyle name="Prozent" xfId="2" builtinId="5"/>
    <cellStyle name="Standard" xfId="0" builtinId="0"/>
    <cellStyle name="Währung" xfId="1" builtinId="4"/>
  </cellStyles>
  <dxfs count="115">
    <dxf>
      <fill>
        <patternFill>
          <bgColor theme="0" tint="-0.24994659260841701"/>
        </patternFill>
      </fill>
    </dxf>
    <dxf>
      <fill>
        <patternFill>
          <bgColor theme="7" tint="0.59996337778862885"/>
        </patternFill>
      </fill>
    </dxf>
    <dxf>
      <fill>
        <patternFill>
          <bgColor theme="7" tint="0.39994506668294322"/>
        </patternFill>
      </fill>
    </dxf>
    <dxf>
      <fill>
        <patternFill>
          <bgColor theme="7"/>
        </patternFill>
      </fill>
    </dxf>
    <dxf>
      <fill>
        <patternFill>
          <bgColor theme="7" tint="-0.24994659260841701"/>
        </patternFill>
      </fill>
    </dxf>
    <dxf>
      <fill>
        <patternFill>
          <bgColor theme="7" tint="-0.499984740745262"/>
        </patternFill>
      </fill>
    </dxf>
    <dxf>
      <fill>
        <patternFill>
          <bgColor theme="0" tint="-0.24994659260841701"/>
        </patternFill>
      </fill>
    </dxf>
    <dxf>
      <fill>
        <patternFill>
          <bgColor rgb="FFFF9B9B"/>
        </patternFill>
      </fill>
    </dxf>
    <dxf>
      <fill>
        <patternFill>
          <bgColor rgb="FFFF6565"/>
        </patternFill>
      </fill>
    </dxf>
    <dxf>
      <fill>
        <patternFill>
          <bgColor rgb="FFFF0000"/>
        </patternFill>
      </fill>
    </dxf>
    <dxf>
      <fill>
        <patternFill>
          <bgColor rgb="FFD20000"/>
        </patternFill>
      </fill>
    </dxf>
    <dxf>
      <fill>
        <patternFill>
          <bgColor rgb="FF920000"/>
        </patternFill>
      </fill>
    </dxf>
    <dxf>
      <fill>
        <patternFill>
          <bgColor theme="0" tint="-0.24994659260841701"/>
        </patternFill>
      </fill>
    </dxf>
    <dxf>
      <fill>
        <patternFill>
          <bgColor theme="5" tint="0.59996337778862885"/>
        </patternFill>
      </fill>
    </dxf>
    <dxf>
      <fill>
        <patternFill>
          <bgColor theme="5" tint="0.39994506668294322"/>
        </patternFill>
      </fill>
    </dxf>
    <dxf>
      <fill>
        <patternFill>
          <bgColor theme="5"/>
        </patternFill>
      </fill>
    </dxf>
    <dxf>
      <fill>
        <patternFill>
          <bgColor theme="5" tint="-0.24994659260841701"/>
        </patternFill>
      </fill>
    </dxf>
    <dxf>
      <fill>
        <patternFill>
          <bgColor theme="5" tint="-0.499984740745262"/>
        </patternFill>
      </fill>
    </dxf>
    <dxf>
      <fill>
        <patternFill>
          <bgColor theme="0" tint="-0.24994659260841701"/>
        </patternFill>
      </fill>
    </dxf>
    <dxf>
      <fill>
        <patternFill>
          <bgColor theme="9" tint="0.59996337778862885"/>
        </patternFill>
      </fill>
    </dxf>
    <dxf>
      <fill>
        <patternFill>
          <bgColor theme="9" tint="0.39994506668294322"/>
        </patternFill>
      </fill>
    </dxf>
    <dxf>
      <fill>
        <patternFill>
          <bgColor theme="9"/>
        </patternFill>
      </fill>
    </dxf>
    <dxf>
      <fill>
        <patternFill>
          <bgColor theme="9" tint="-0.24994659260841701"/>
        </patternFill>
      </fill>
    </dxf>
    <dxf>
      <fill>
        <patternFill>
          <bgColor theme="9" tint="-0.499984740745262"/>
        </patternFill>
      </fill>
    </dxf>
    <dxf>
      <font>
        <b/>
      </font>
      <border>
        <top style="thin">
          <color auto="1"/>
        </top>
        <vertical/>
        <horizontal/>
      </border>
    </dxf>
    <dxf>
      <font>
        <b/>
        <color theme="0"/>
      </font>
      <fill>
        <patternFill>
          <bgColor rgb="FF00B0F0"/>
        </patternFill>
      </fill>
    </dxf>
    <dxf>
      <font>
        <b/>
        <color theme="0"/>
      </font>
      <fill>
        <patternFill>
          <bgColor rgb="FFFF731D"/>
        </patternFill>
      </fill>
    </dxf>
    <dxf>
      <font>
        <b/>
        <color theme="0"/>
      </font>
      <fill>
        <patternFill>
          <bgColor rgb="FFC00000"/>
        </patternFill>
      </fill>
    </dxf>
    <dxf>
      <font>
        <b/>
        <color theme="0"/>
      </font>
      <fill>
        <patternFill>
          <bgColor rgb="FF3C7D22"/>
        </patternFill>
      </fill>
    </dxf>
    <dxf>
      <font>
        <strike val="0"/>
        <condense val="0"/>
        <extend val="0"/>
        <outline val="0"/>
        <shadow val="0"/>
        <vertAlign val="baseline"/>
        <sz val="11"/>
        <color theme="0" tint="-0.499984740745262"/>
        <name val="Aptos Narrow"/>
        <family val="2"/>
        <scheme val="minor"/>
      </font>
      <alignment horizontal="left" vertical="bottom" indent="1"/>
    </dxf>
    <dxf>
      <font>
        <strike val="0"/>
        <condense val="0"/>
        <extend val="0"/>
        <outline val="0"/>
        <shadow val="0"/>
        <vertAlign val="baseline"/>
        <sz val="11"/>
        <color theme="0" tint="-0.499984740745262"/>
        <name val="Aptos Narrow"/>
        <family val="2"/>
        <scheme val="minor"/>
      </font>
      <alignment horizontal="left" vertical="bottom" indent="1"/>
    </dxf>
    <dxf>
      <fill>
        <patternFill patternType="solid">
          <fgColor indexed="64"/>
          <bgColor rgb="FF00B0F0"/>
        </patternFill>
      </fill>
      <alignment horizontal="left" vertical="bottom" relativeIndent="1"/>
    </dxf>
    <dxf>
      <font>
        <strike val="0"/>
        <condense val="0"/>
        <extend val="0"/>
        <outline val="0"/>
        <shadow val="0"/>
        <vertAlign val="baseline"/>
        <sz val="11"/>
        <color rgb="FF808080"/>
        <name val="Aptos Narrow"/>
        <family val="2"/>
        <scheme val="minor"/>
      </font>
      <fill>
        <patternFill patternType="none"/>
      </fill>
      <alignment horizontal="left" vertical="bottom" indent="1"/>
    </dxf>
    <dxf>
      <font>
        <strike val="0"/>
        <condense val="0"/>
        <extend val="0"/>
        <outline val="0"/>
        <shadow val="0"/>
        <vertAlign val="baseline"/>
        <sz val="11"/>
        <color rgb="FF808080"/>
        <name val="Aptos Narrow"/>
        <family val="2"/>
        <scheme val="minor"/>
      </font>
      <fill>
        <patternFill patternType="none"/>
      </fill>
      <alignment horizontal="left" vertical="bottom" indent="1"/>
    </dxf>
    <dxf>
      <fill>
        <patternFill patternType="solid">
          <fgColor indexed="64"/>
          <bgColor rgb="FFFF731D"/>
        </patternFill>
      </fill>
      <alignment horizontal="left" vertical="bottom" relativeIndent="1"/>
    </dxf>
    <dxf>
      <font>
        <strike val="0"/>
        <condense val="0"/>
        <extend val="0"/>
        <outline val="0"/>
        <shadow val="0"/>
        <vertAlign val="baseline"/>
        <sz val="11"/>
        <color rgb="FF808080"/>
        <name val="Aptos Narrow"/>
        <family val="2"/>
        <scheme val="minor"/>
      </font>
      <fill>
        <patternFill patternType="none"/>
      </fill>
      <alignment horizontal="left" vertical="bottom" indent="1"/>
    </dxf>
    <dxf>
      <font>
        <strike val="0"/>
        <condense val="0"/>
        <extend val="0"/>
        <outline val="0"/>
        <shadow val="0"/>
        <vertAlign val="baseline"/>
        <sz val="11"/>
        <color rgb="FF808080"/>
        <name val="Aptos Narrow"/>
        <family val="2"/>
        <scheme val="minor"/>
      </font>
      <fill>
        <patternFill patternType="none"/>
      </fill>
      <alignment horizontal="left" vertical="bottom" indent="1"/>
    </dxf>
    <dxf>
      <font>
        <b/>
        <strike val="0"/>
        <condense val="0"/>
        <extend val="0"/>
        <outline val="0"/>
        <shadow val="0"/>
        <vertAlign val="baseline"/>
        <sz val="11"/>
        <color theme="0"/>
        <name val="Aptos Narrow"/>
        <family val="2"/>
        <scheme val="minor"/>
      </font>
      <fill>
        <patternFill patternType="solid">
          <fgColor indexed="64"/>
          <bgColor rgb="FFC00000"/>
        </patternFill>
      </fill>
      <alignment horizontal="left" vertical="bottom" indent="1"/>
    </dxf>
    <dxf>
      <font>
        <strike val="0"/>
        <condense val="0"/>
        <extend val="0"/>
        <outline val="0"/>
        <shadow val="0"/>
        <vertAlign val="baseline"/>
        <sz val="11"/>
        <color rgb="FF808080"/>
        <name val="Aptos Narrow"/>
        <family val="2"/>
        <scheme val="minor"/>
      </font>
      <fill>
        <patternFill patternType="none"/>
      </fill>
      <alignment horizontal="left" vertical="bottom" indent="1"/>
    </dxf>
    <dxf>
      <font>
        <strike val="0"/>
        <condense val="0"/>
        <extend val="0"/>
        <outline val="0"/>
        <shadow val="0"/>
        <vertAlign val="baseline"/>
        <sz val="11"/>
        <color rgb="FF808080"/>
        <name val="Aptos Narrow"/>
        <family val="2"/>
        <scheme val="minor"/>
      </font>
      <fill>
        <patternFill patternType="none"/>
      </fill>
      <alignment horizontal="left" vertical="bottom" indent="1"/>
    </dxf>
    <dxf>
      <font>
        <b/>
        <strike val="0"/>
        <condense val="0"/>
        <extend val="0"/>
        <outline val="0"/>
        <shadow val="0"/>
        <vertAlign val="baseline"/>
        <sz val="11"/>
        <color theme="0"/>
        <name val="Aptos Narrow"/>
        <family val="2"/>
        <scheme val="minor"/>
      </font>
      <fill>
        <patternFill patternType="solid">
          <fgColor indexed="64"/>
          <bgColor theme="9" tint="-0.249977111117893"/>
        </patternFill>
      </fill>
      <alignment horizontal="left" vertical="bottom" indent="1"/>
    </dxf>
    <dxf>
      <font>
        <color rgb="FFFF0000"/>
      </font>
    </dxf>
    <dxf>
      <font>
        <color rgb="FF92D050"/>
      </font>
    </dxf>
    <dxf>
      <font>
        <color theme="0" tint="-0.499984740745262"/>
      </font>
    </dxf>
    <dxf>
      <font>
        <color theme="1"/>
      </font>
      <fill>
        <patternFill>
          <bgColor rgb="FFCAE9F6"/>
        </patternFill>
      </fill>
    </dxf>
    <dxf>
      <font>
        <color theme="1"/>
      </font>
      <fill>
        <patternFill>
          <bgColor rgb="FFFFBDBD"/>
        </patternFill>
      </fill>
    </dxf>
    <dxf>
      <font>
        <color theme="1"/>
      </font>
      <fill>
        <patternFill>
          <bgColor theme="9" tint="0.59996337778862885"/>
        </patternFill>
      </fill>
    </dxf>
    <dxf>
      <font>
        <color theme="1"/>
      </font>
      <fill>
        <patternFill>
          <bgColor rgb="FFCAE9F6"/>
        </patternFill>
      </fill>
    </dxf>
    <dxf>
      <font>
        <color theme="1"/>
      </font>
      <fill>
        <patternFill>
          <bgColor rgb="FFFFD7AF"/>
        </patternFill>
      </fill>
    </dxf>
    <dxf>
      <font>
        <color theme="1"/>
      </font>
      <fill>
        <patternFill>
          <bgColor rgb="FFFFBDBD"/>
        </patternFill>
      </fill>
    </dxf>
    <dxf>
      <font>
        <color theme="1"/>
      </font>
      <fill>
        <patternFill>
          <bgColor theme="9" tint="0.59996337778862885"/>
        </patternFill>
      </fill>
    </dxf>
    <dxf>
      <font>
        <b val="0"/>
        <i val="0"/>
        <strike val="0"/>
        <condense val="0"/>
        <extend val="0"/>
        <outline val="0"/>
        <shadow val="0"/>
        <u val="none"/>
        <vertAlign val="baseline"/>
        <sz val="12"/>
        <color theme="2" tint="-0.499984740745262"/>
        <name val="Aptos Narrow"/>
        <family val="2"/>
        <scheme val="minor"/>
      </font>
      <numFmt numFmtId="169" formatCode="dd/\ mmm\ yyyy"/>
      <alignment horizontal="right" vertical="center" textRotation="0" wrapText="0" indent="1" justifyLastLine="0" shrinkToFit="0" readingOrder="0"/>
    </dxf>
    <dxf>
      <numFmt numFmtId="166" formatCode="#,##0.00\ &quot;€&quot;"/>
    </dxf>
    <dxf>
      <font>
        <i/>
        <strike val="0"/>
        <outline val="0"/>
        <shadow val="0"/>
        <vertAlign val="baseline"/>
        <sz val="12"/>
        <name val="Aptos Narrow"/>
        <family val="2"/>
        <scheme val="minor"/>
      </font>
      <alignment horizontal="left" vertical="center" indent="1"/>
    </dxf>
    <dxf>
      <font>
        <strike val="0"/>
        <condense val="0"/>
        <extend val="0"/>
        <outline val="0"/>
        <shadow val="0"/>
        <vertAlign val="baseline"/>
        <sz val="12"/>
        <color theme="1"/>
        <name val="Aptos Narrow"/>
        <family val="2"/>
        <scheme val="minor"/>
      </font>
      <numFmt numFmtId="166" formatCode="#,##0.00\ &quot;€&quot;"/>
      <alignment horizontal="right" vertical="center" indent="1"/>
    </dxf>
    <dxf>
      <font>
        <strike val="0"/>
        <outline val="0"/>
        <shadow val="0"/>
        <vertAlign val="baseline"/>
        <sz val="12"/>
        <color theme="1"/>
        <name val="Aptos Narrow"/>
        <family val="2"/>
        <scheme val="minor"/>
      </font>
      <numFmt numFmtId="166" formatCode="#,##0.00\ &quot;€&quot;"/>
      <alignment horizontal="right" vertical="center" indent="1"/>
    </dxf>
    <dxf>
      <font>
        <strike val="0"/>
        <outline val="0"/>
        <shadow val="0"/>
        <vertAlign val="baseline"/>
        <sz val="12"/>
        <name val="Aptos Narrow"/>
        <family val="2"/>
        <scheme val="minor"/>
      </font>
      <alignment horizontal="left" vertical="center" indent="1"/>
    </dxf>
    <dxf>
      <font>
        <strike val="0"/>
        <outline val="0"/>
        <shadow val="0"/>
        <vertAlign val="baseline"/>
        <sz val="12"/>
        <name val="Aptos Narrow"/>
        <family val="2"/>
        <scheme val="minor"/>
      </font>
      <alignment horizontal="left" vertical="center"/>
    </dxf>
    <dxf>
      <font>
        <strike val="0"/>
        <outline val="0"/>
        <shadow val="0"/>
        <vertAlign val="baseline"/>
        <sz val="12"/>
        <name val="Aptos Narrow"/>
        <family val="2"/>
        <scheme val="minor"/>
      </font>
      <alignment horizontal="general" vertical="bottom"/>
    </dxf>
    <dxf>
      <font>
        <strike val="0"/>
        <outline val="0"/>
        <shadow val="0"/>
        <vertAlign val="baseline"/>
        <sz val="12"/>
        <name val="Aptos Narrow"/>
        <family val="2"/>
        <scheme val="minor"/>
      </font>
      <numFmt numFmtId="169" formatCode="dd/\ mmm\ yyyy"/>
      <alignment horizontal="left" vertical="center"/>
    </dxf>
    <dxf>
      <font>
        <strike val="0"/>
        <outline val="0"/>
        <shadow val="0"/>
        <vertAlign val="baseline"/>
        <sz val="12"/>
        <name val="Aptos Narrow"/>
        <family val="2"/>
        <scheme val="minor"/>
      </font>
      <alignment horizontal="left" vertical="bottom" relativeIndent="1"/>
    </dxf>
    <dxf>
      <alignment horizontal="left" vertical="center" relativeIndent="1"/>
    </dxf>
    <dxf>
      <font>
        <b/>
        <color theme="9"/>
      </font>
      <numFmt numFmtId="166" formatCode="#,##0.00\ &quot;€&quot;"/>
    </dxf>
    <dxf>
      <font>
        <b/>
        <strike val="0"/>
        <color rgb="FFFF0000"/>
      </font>
      <numFmt numFmtId="166" formatCode="#,##0.00\ &quot;€&quot;"/>
    </dxf>
    <dxf>
      <font>
        <b/>
        <strike val="0"/>
        <color theme="5"/>
      </font>
      <numFmt numFmtId="166" formatCode="#,##0.00\ &quot;€&quot;"/>
    </dxf>
    <dxf>
      <font>
        <b/>
        <strike val="0"/>
        <color rgb="FF00B0F0"/>
      </font>
      <numFmt numFmtId="166" formatCode="#,##0.00\ &quot;€&quot;"/>
    </dxf>
    <dxf>
      <numFmt numFmtId="173" formatCode="\-#,##0.00\ &quot;€&quot;;\-#,##0.00\ &quot;€&quot;"/>
    </dxf>
    <dxf>
      <font>
        <b/>
        <color theme="9"/>
      </font>
      <numFmt numFmtId="166" formatCode="#,##0.00\ &quot;€&quot;"/>
    </dxf>
    <dxf>
      <font>
        <b/>
        <strike val="0"/>
        <color rgb="FFFF0000"/>
      </font>
      <numFmt numFmtId="166" formatCode="#,##0.00\ &quot;€&quot;"/>
    </dxf>
    <dxf>
      <font>
        <b/>
        <strike val="0"/>
        <color theme="5"/>
      </font>
      <numFmt numFmtId="166" formatCode="#,##0.00\ &quot;€&quot;"/>
    </dxf>
    <dxf>
      <font>
        <b/>
        <strike val="0"/>
        <color rgb="FF00B0F0"/>
      </font>
      <numFmt numFmtId="166" formatCode="#,##0.00\ &quot;€&quot;"/>
    </dxf>
    <dxf>
      <numFmt numFmtId="173" formatCode="\-#,##0.00\ &quot;€&quot;;\-#,##0.00\ &quot;€&quot;"/>
    </dxf>
    <dxf>
      <font>
        <color rgb="FFFF0000"/>
      </font>
    </dxf>
    <dxf>
      <font>
        <i/>
        <color theme="1"/>
      </font>
      <numFmt numFmtId="174" formatCode="&quot;Datum eingeben...&quot;"/>
    </dxf>
    <dxf>
      <font>
        <strike val="0"/>
        <color theme="2" tint="-0.24994659260841701"/>
      </font>
    </dxf>
    <dxf>
      <font>
        <strike val="0"/>
        <color theme="2" tint="-0.24994659260841701"/>
      </font>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alignment horizontal="center" vertical="bottom"/>
    </dxf>
    <dxf>
      <font>
        <color theme="1"/>
      </font>
      <fill>
        <patternFill>
          <bgColor theme="9" tint="0.59996337778862885"/>
        </patternFill>
      </fill>
    </dxf>
    <dxf>
      <font>
        <color theme="1"/>
      </font>
      <fill>
        <patternFill>
          <bgColor rgb="FFFFBDBD"/>
        </patternFill>
      </fill>
    </dxf>
    <dxf>
      <font>
        <color theme="1"/>
      </font>
      <fill>
        <patternFill>
          <bgColor rgb="FFCAE9F6"/>
        </patternFill>
      </fill>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border diagonalUp="0" diagonalDown="0">
        <left style="medium">
          <color indexed="64"/>
        </left>
        <right style="medium">
          <color indexed="64"/>
        </right>
        <top style="medium">
          <color indexed="64"/>
        </top>
        <bottom style="medium">
          <color indexed="64"/>
        </bottom>
      </border>
    </dxf>
    <dxf>
      <alignment horizontal="center" vertical="center" textRotation="0" wrapText="1" indent="0" justifyLastLine="0" shrinkToFit="0" readingOrder="0"/>
    </dxf>
    <dxf>
      <alignment horizontal="center" vertical="center"/>
    </dxf>
    <dxf>
      <alignment horizontal="center" vertical="center" textRotation="0" wrapText="1" indent="0" justifyLastLine="0" shrinkToFit="0" readingOrder="0"/>
    </dxf>
    <dxf>
      <font>
        <color auto="1"/>
      </font>
      <fill>
        <patternFill>
          <bgColor rgb="FFFFC7CE"/>
        </patternFill>
      </fill>
    </dxf>
    <dxf>
      <font>
        <color auto="1"/>
      </font>
      <fill>
        <patternFill>
          <bgColor theme="9" tint="0.79998168889431442"/>
        </patternFill>
      </fill>
    </dxf>
    <dxf>
      <font>
        <b/>
        <color theme="0"/>
      </font>
      <fill>
        <patternFill>
          <bgColor rgb="FFFFC000"/>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ill>
        <patternFill>
          <bgColor theme="0" tint="-0.1498764000366222"/>
        </patternFill>
      </fill>
    </dxf>
    <dxf>
      <font>
        <b/>
        <color theme="0"/>
      </font>
      <fill>
        <patternFill>
          <bgColor theme="1" tint="0.24994659260841701"/>
        </patternFill>
      </fill>
      <border>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color theme="1"/>
      </font>
      <border>
        <bottom style="thin">
          <color theme="0" tint="-0.34998626667073579"/>
        </bottom>
        <vertical/>
        <horizontal/>
      </border>
    </dxf>
    <dxf>
      <font>
        <color theme="1"/>
      </font>
      <fill>
        <patternFill>
          <bgColor auto="1"/>
        </patternFill>
      </fill>
      <border>
        <left/>
        <right/>
        <top/>
        <bottom/>
        <vertical/>
        <horizontal/>
      </border>
    </dxf>
    <dxf>
      <font>
        <b/>
        <color theme="0"/>
      </font>
      <fill>
        <patternFill>
          <bgColor theme="7"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color theme="0"/>
      </font>
      <fill>
        <patternFill>
          <bgColor rgb="FFFF1919"/>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color theme="0"/>
      </font>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border>
        <vertical/>
        <horizontal/>
      </border>
    </dxf>
  </dxfs>
  <tableStyles count="7" defaultTableStyle="TableStyleMedium2" defaultPivotStyle="PivotStyleLight16">
    <tableStyle name="Datenschnittformat 1" pivot="0" table="0" count="1" xr9:uid="{00000000-0011-0000-FFFF-FFFF00000000}">
      <tableStyleElement type="wholeTable" dxfId="114"/>
    </tableStyle>
    <tableStyle name="Einkommenstabelle Style" pivot="0" count="2" xr9:uid="{00000000-0011-0000-FFFF-FFFF01000000}">
      <tableStyleElement type="wholeTable" dxfId="113"/>
      <tableStyleElement type="headerRow" dxfId="112"/>
    </tableStyle>
    <tableStyle name="Fixkostentabelle Style " pivot="0" count="2" xr9:uid="{00000000-0011-0000-FFFF-FFFF02000000}">
      <tableStyleElement type="wholeTable" dxfId="111"/>
      <tableStyleElement type="headerRow" dxfId="110"/>
    </tableStyle>
    <tableStyle name="Investmenttabelle Style  " pivot="0" count="2" xr9:uid="{00000000-0011-0000-FFFF-FFFF03000000}">
      <tableStyleElement type="wholeTable" dxfId="109"/>
      <tableStyleElement type="headerRow" dxfId="108"/>
    </tableStyle>
    <tableStyle name="SlicerStyleOther1 2" pivot="0" table="0" count="2" xr9:uid="{00000000-0011-0000-FFFF-FFFF04000000}">
      <tableStyleElement type="wholeTable" dxfId="107"/>
      <tableStyleElement type="headerRow" dxfId="106"/>
    </tableStyle>
    <tableStyle name="Tracking Table Style" pivot="0" count="3" xr9:uid="{00000000-0011-0000-FFFF-FFFF05000000}">
      <tableStyleElement type="wholeTable" dxfId="105"/>
      <tableStyleElement type="headerRow" dxfId="104"/>
      <tableStyleElement type="firstRowStripe" dxfId="103"/>
    </tableStyle>
    <tableStyle name="Variablekostentabelle Style " pivot="0" count="2" xr9:uid="{00000000-0011-0000-FFFF-FFFF06000000}">
      <tableStyleElement type="wholeTable" dxfId="102"/>
      <tableStyleElement type="headerRow" dxfId="10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7.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c:style val="2"/>
  <c:chart>
    <c:autoTitleDeleted val="1"/>
    <c:plotArea>
      <c:layout/>
      <c:doughnutChart>
        <c:varyColors val="1"/>
        <c:ser>
          <c:idx val="0"/>
          <c:order val="0"/>
          <c:spPr>
            <a:solidFill>
              <a:schemeClr val="accent6">
                <a:lumMod val="50000"/>
              </a:schemeClr>
            </a:solidFill>
            <a:ln>
              <a:prstDash val="solid"/>
            </a:ln>
          </c:spPr>
          <c:dPt>
            <c:idx val="0"/>
            <c:bubble3D val="0"/>
            <c:spPr>
              <a:solidFill>
                <a:schemeClr val="accent6">
                  <a:lumMod val="50000"/>
                </a:schemeClr>
              </a:solidFill>
              <a:ln w="19050">
                <a:solidFill>
                  <a:schemeClr val="lt1"/>
                </a:solidFill>
                <a:prstDash val="solid"/>
              </a:ln>
            </c:spPr>
            <c:extLst>
              <c:ext xmlns:c16="http://schemas.microsoft.com/office/drawing/2014/chart" uri="{C3380CC4-5D6E-409C-BE32-E72D297353CC}">
                <c16:uniqueId val="{00000001-45BB-4DFA-B8B2-28E17AB01B50}"/>
              </c:ext>
            </c:extLst>
          </c:dPt>
          <c:dPt>
            <c:idx val="1"/>
            <c:bubble3D val="0"/>
            <c:spPr>
              <a:solidFill>
                <a:schemeClr val="accent6">
                  <a:lumMod val="75000"/>
                </a:schemeClr>
              </a:solidFill>
              <a:ln w="19050">
                <a:solidFill>
                  <a:schemeClr val="lt1"/>
                </a:solidFill>
                <a:prstDash val="solid"/>
              </a:ln>
            </c:spPr>
            <c:extLst>
              <c:ext xmlns:c16="http://schemas.microsoft.com/office/drawing/2014/chart" uri="{C3380CC4-5D6E-409C-BE32-E72D297353CC}">
                <c16:uniqueId val="{00000003-45BB-4DFA-B8B2-28E17AB01B50}"/>
              </c:ext>
            </c:extLst>
          </c:dPt>
          <c:dPt>
            <c:idx val="2"/>
            <c:bubble3D val="0"/>
            <c:spPr>
              <a:solidFill>
                <a:schemeClr val="accent6"/>
              </a:solidFill>
              <a:ln w="19050">
                <a:solidFill>
                  <a:schemeClr val="lt1"/>
                </a:solidFill>
                <a:prstDash val="solid"/>
              </a:ln>
            </c:spPr>
            <c:extLst>
              <c:ext xmlns:c16="http://schemas.microsoft.com/office/drawing/2014/chart" uri="{C3380CC4-5D6E-409C-BE32-E72D297353CC}">
                <c16:uniqueId val="{00000005-45BB-4DFA-B8B2-28E17AB01B50}"/>
              </c:ext>
            </c:extLst>
          </c:dPt>
          <c:dPt>
            <c:idx val="3"/>
            <c:bubble3D val="0"/>
            <c:spPr>
              <a:solidFill>
                <a:schemeClr val="accent6">
                  <a:lumMod val="60000"/>
                  <a:lumOff val="40000"/>
                </a:schemeClr>
              </a:solidFill>
              <a:ln w="19050">
                <a:solidFill>
                  <a:schemeClr val="lt1"/>
                </a:solidFill>
                <a:prstDash val="solid"/>
              </a:ln>
            </c:spPr>
            <c:extLst>
              <c:ext xmlns:c16="http://schemas.microsoft.com/office/drawing/2014/chart" uri="{C3380CC4-5D6E-409C-BE32-E72D297353CC}">
                <c16:uniqueId val="{00000007-45BB-4DFA-B8B2-28E17AB01B50}"/>
              </c:ext>
            </c:extLst>
          </c:dPt>
          <c:dPt>
            <c:idx val="4"/>
            <c:bubble3D val="0"/>
            <c:spPr>
              <a:solidFill>
                <a:schemeClr val="accent6">
                  <a:lumMod val="40000"/>
                  <a:lumOff val="60000"/>
                </a:schemeClr>
              </a:solidFill>
              <a:ln w="19050">
                <a:solidFill>
                  <a:schemeClr val="lt1"/>
                </a:solidFill>
                <a:prstDash val="solid"/>
              </a:ln>
            </c:spPr>
            <c:extLst>
              <c:ext xmlns:c16="http://schemas.microsoft.com/office/drawing/2014/chart" uri="{C3380CC4-5D6E-409C-BE32-E72D297353CC}">
                <c16:uniqueId val="{00000009-45BB-4DFA-B8B2-28E17AB01B50}"/>
              </c:ext>
            </c:extLst>
          </c:dPt>
          <c:dPt>
            <c:idx val="5"/>
            <c:bubble3D val="0"/>
            <c:spPr>
              <a:solidFill>
                <a:schemeClr val="bg1">
                  <a:lumMod val="75000"/>
                </a:schemeClr>
              </a:solidFill>
              <a:ln w="19050">
                <a:solidFill>
                  <a:schemeClr val="lt1"/>
                </a:solidFill>
                <a:prstDash val="solid"/>
              </a:ln>
            </c:spPr>
            <c:extLst>
              <c:ext xmlns:c16="http://schemas.microsoft.com/office/drawing/2014/chart" uri="{C3380CC4-5D6E-409C-BE32-E72D297353CC}">
                <c16:uniqueId val="{0000000B-45BB-4DFA-B8B2-28E17AB01B50}"/>
              </c:ext>
            </c:extLst>
          </c:dPt>
          <c:cat>
            <c:multiLvlStrRef>
              <c:f>Calculations!$D$34:$D$39</c:f>
            </c:multiLvlStrRef>
          </c:cat>
          <c:val>
            <c:numRef>
              <c:f>Calculations!$E$34:$E$39</c:f>
              <c:numCache>
                <c:formatCode>_-* #,##0\ "€"_-;\-* #,##0\ "€"_-;_-* "-"??\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C-45BB-4DFA-B8B2-28E17AB01B50}"/>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1"/>
  </c:chart>
  <c:spPr>
    <a:noFill/>
    <a:ln w="9525" cap="flat" cmpd="sng" algn="ctr">
      <a:noFill/>
      <a:prstDash val="solid"/>
      <a:round/>
    </a:ln>
  </c:sp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c:style val="2"/>
  <c:chart>
    <c:autoTitleDeleted val="1"/>
    <c:plotArea>
      <c:layout/>
      <c:barChart>
        <c:barDir val="col"/>
        <c:grouping val="stacked"/>
        <c:varyColors val="0"/>
        <c:ser>
          <c:idx val="0"/>
          <c:order val="0"/>
          <c:spPr>
            <a:solidFill>
              <a:schemeClr val="accent6">
                <a:lumMod val="75000"/>
              </a:schemeClr>
            </a:solidFill>
            <a:ln>
              <a:noFill/>
              <a:prstDash val="solid"/>
            </a:ln>
          </c:spPr>
          <c:invertIfNegative val="0"/>
          <c:dPt>
            <c:idx val="1"/>
            <c:invertIfNegative val="0"/>
            <c:bubble3D val="0"/>
            <c:spPr>
              <a:solidFill>
                <a:srgbClr val="D20000"/>
              </a:solidFill>
              <a:ln>
                <a:noFill/>
                <a:prstDash val="solid"/>
              </a:ln>
            </c:spPr>
            <c:extLst>
              <c:ext xmlns:c16="http://schemas.microsoft.com/office/drawing/2014/chart" uri="{C3380CC4-5D6E-409C-BE32-E72D297353CC}">
                <c16:uniqueId val="{00000001-DE5B-4C85-8FA5-D81B3695870D}"/>
              </c:ext>
            </c:extLst>
          </c:dPt>
          <c:dPt>
            <c:idx val="2"/>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03-DE5B-4C85-8FA5-D81B3695870D}"/>
              </c:ext>
            </c:extLst>
          </c:dPt>
          <c:dPt>
            <c:idx val="3"/>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05-DE5B-4C85-8FA5-D81B3695870D}"/>
              </c:ext>
            </c:extLst>
          </c:dPt>
          <c:dPt>
            <c:idx val="6"/>
            <c:invertIfNegative val="0"/>
            <c:bubble3D val="0"/>
            <c:spPr>
              <a:solidFill>
                <a:srgbClr val="D20000"/>
              </a:solidFill>
              <a:ln>
                <a:noFill/>
                <a:prstDash val="solid"/>
              </a:ln>
            </c:spPr>
            <c:extLst>
              <c:ext xmlns:c16="http://schemas.microsoft.com/office/drawing/2014/chart" uri="{C3380CC4-5D6E-409C-BE32-E72D297353CC}">
                <c16:uniqueId val="{00000007-DE5B-4C85-8FA5-D81B3695870D}"/>
              </c:ext>
            </c:extLst>
          </c:dPt>
          <c:dPt>
            <c:idx val="7"/>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09-DE5B-4C85-8FA5-D81B3695870D}"/>
              </c:ext>
            </c:extLst>
          </c:dPt>
          <c:dPt>
            <c:idx val="8"/>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0B-DE5B-4C85-8FA5-D81B3695870D}"/>
              </c:ext>
            </c:extLst>
          </c:dPt>
          <c:dPt>
            <c:idx val="11"/>
            <c:invertIfNegative val="0"/>
            <c:bubble3D val="0"/>
            <c:spPr>
              <a:solidFill>
                <a:srgbClr val="D20000"/>
              </a:solidFill>
              <a:ln>
                <a:noFill/>
                <a:prstDash val="solid"/>
              </a:ln>
            </c:spPr>
            <c:extLst>
              <c:ext xmlns:c16="http://schemas.microsoft.com/office/drawing/2014/chart" uri="{C3380CC4-5D6E-409C-BE32-E72D297353CC}">
                <c16:uniqueId val="{0000000D-DE5B-4C85-8FA5-D81B3695870D}"/>
              </c:ext>
            </c:extLst>
          </c:dPt>
          <c:dPt>
            <c:idx val="12"/>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0F-DE5B-4C85-8FA5-D81B3695870D}"/>
              </c:ext>
            </c:extLst>
          </c:dPt>
          <c:dPt>
            <c:idx val="13"/>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11-DE5B-4C85-8FA5-D81B3695870D}"/>
              </c:ext>
            </c:extLst>
          </c:dPt>
          <c:dPt>
            <c:idx val="16"/>
            <c:invertIfNegative val="0"/>
            <c:bubble3D val="0"/>
            <c:spPr>
              <a:solidFill>
                <a:srgbClr val="D20000"/>
              </a:solidFill>
              <a:ln>
                <a:noFill/>
                <a:prstDash val="solid"/>
              </a:ln>
            </c:spPr>
            <c:extLst>
              <c:ext xmlns:c16="http://schemas.microsoft.com/office/drawing/2014/chart" uri="{C3380CC4-5D6E-409C-BE32-E72D297353CC}">
                <c16:uniqueId val="{00000013-DE5B-4C85-8FA5-D81B3695870D}"/>
              </c:ext>
            </c:extLst>
          </c:dPt>
          <c:dPt>
            <c:idx val="17"/>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15-DE5B-4C85-8FA5-D81B3695870D}"/>
              </c:ext>
            </c:extLst>
          </c:dPt>
          <c:dPt>
            <c:idx val="18"/>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17-DE5B-4C85-8FA5-D81B3695870D}"/>
              </c:ext>
            </c:extLst>
          </c:dPt>
          <c:dPt>
            <c:idx val="21"/>
            <c:invertIfNegative val="0"/>
            <c:bubble3D val="0"/>
            <c:spPr>
              <a:solidFill>
                <a:srgbClr val="D20000"/>
              </a:solidFill>
              <a:ln>
                <a:noFill/>
                <a:prstDash val="solid"/>
              </a:ln>
            </c:spPr>
            <c:extLst>
              <c:ext xmlns:c16="http://schemas.microsoft.com/office/drawing/2014/chart" uri="{C3380CC4-5D6E-409C-BE32-E72D297353CC}">
                <c16:uniqueId val="{00000019-DE5B-4C85-8FA5-D81B3695870D}"/>
              </c:ext>
            </c:extLst>
          </c:dPt>
          <c:dPt>
            <c:idx val="22"/>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1B-DE5B-4C85-8FA5-D81B3695870D}"/>
              </c:ext>
            </c:extLst>
          </c:dPt>
          <c:dPt>
            <c:idx val="23"/>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1D-DE5B-4C85-8FA5-D81B3695870D}"/>
              </c:ext>
            </c:extLst>
          </c:dPt>
          <c:dPt>
            <c:idx val="26"/>
            <c:invertIfNegative val="0"/>
            <c:bubble3D val="0"/>
            <c:spPr>
              <a:solidFill>
                <a:srgbClr val="D20000"/>
              </a:solidFill>
              <a:ln>
                <a:noFill/>
                <a:prstDash val="solid"/>
              </a:ln>
            </c:spPr>
            <c:extLst>
              <c:ext xmlns:c16="http://schemas.microsoft.com/office/drawing/2014/chart" uri="{C3380CC4-5D6E-409C-BE32-E72D297353CC}">
                <c16:uniqueId val="{0000001F-DE5B-4C85-8FA5-D81B3695870D}"/>
              </c:ext>
            </c:extLst>
          </c:dPt>
          <c:dPt>
            <c:idx val="27"/>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21-DE5B-4C85-8FA5-D81B3695870D}"/>
              </c:ext>
            </c:extLst>
          </c:dPt>
          <c:dPt>
            <c:idx val="28"/>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23-DE5B-4C85-8FA5-D81B3695870D}"/>
              </c:ext>
            </c:extLst>
          </c:dPt>
          <c:dPt>
            <c:idx val="31"/>
            <c:invertIfNegative val="0"/>
            <c:bubble3D val="0"/>
            <c:spPr>
              <a:solidFill>
                <a:srgbClr val="D20000"/>
              </a:solidFill>
              <a:ln>
                <a:noFill/>
                <a:prstDash val="solid"/>
              </a:ln>
            </c:spPr>
            <c:extLst>
              <c:ext xmlns:c16="http://schemas.microsoft.com/office/drawing/2014/chart" uri="{C3380CC4-5D6E-409C-BE32-E72D297353CC}">
                <c16:uniqueId val="{00000025-DE5B-4C85-8FA5-D81B3695870D}"/>
              </c:ext>
            </c:extLst>
          </c:dPt>
          <c:dPt>
            <c:idx val="32"/>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27-DE5B-4C85-8FA5-D81B3695870D}"/>
              </c:ext>
            </c:extLst>
          </c:dPt>
          <c:dPt>
            <c:idx val="33"/>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29-DE5B-4C85-8FA5-D81B3695870D}"/>
              </c:ext>
            </c:extLst>
          </c:dPt>
          <c:dPt>
            <c:idx val="36"/>
            <c:invertIfNegative val="0"/>
            <c:bubble3D val="0"/>
            <c:spPr>
              <a:solidFill>
                <a:srgbClr val="D20000"/>
              </a:solidFill>
              <a:ln>
                <a:noFill/>
                <a:prstDash val="solid"/>
              </a:ln>
            </c:spPr>
            <c:extLst>
              <c:ext xmlns:c16="http://schemas.microsoft.com/office/drawing/2014/chart" uri="{C3380CC4-5D6E-409C-BE32-E72D297353CC}">
                <c16:uniqueId val="{0000002B-DE5B-4C85-8FA5-D81B3695870D}"/>
              </c:ext>
            </c:extLst>
          </c:dPt>
          <c:dPt>
            <c:idx val="37"/>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2D-DE5B-4C85-8FA5-D81B3695870D}"/>
              </c:ext>
            </c:extLst>
          </c:dPt>
          <c:dPt>
            <c:idx val="38"/>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2F-DE5B-4C85-8FA5-D81B3695870D}"/>
              </c:ext>
            </c:extLst>
          </c:dPt>
          <c:dPt>
            <c:idx val="41"/>
            <c:invertIfNegative val="0"/>
            <c:bubble3D val="0"/>
            <c:spPr>
              <a:solidFill>
                <a:srgbClr val="D20000"/>
              </a:solidFill>
              <a:ln>
                <a:noFill/>
                <a:prstDash val="solid"/>
              </a:ln>
            </c:spPr>
            <c:extLst>
              <c:ext xmlns:c16="http://schemas.microsoft.com/office/drawing/2014/chart" uri="{C3380CC4-5D6E-409C-BE32-E72D297353CC}">
                <c16:uniqueId val="{00000031-DE5B-4C85-8FA5-D81B3695870D}"/>
              </c:ext>
            </c:extLst>
          </c:dPt>
          <c:dPt>
            <c:idx val="42"/>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33-DE5B-4C85-8FA5-D81B3695870D}"/>
              </c:ext>
            </c:extLst>
          </c:dPt>
          <c:dPt>
            <c:idx val="43"/>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35-DE5B-4C85-8FA5-D81B3695870D}"/>
              </c:ext>
            </c:extLst>
          </c:dPt>
          <c:dPt>
            <c:idx val="46"/>
            <c:invertIfNegative val="0"/>
            <c:bubble3D val="0"/>
            <c:spPr>
              <a:solidFill>
                <a:srgbClr val="D20000"/>
              </a:solidFill>
              <a:ln>
                <a:noFill/>
                <a:prstDash val="solid"/>
              </a:ln>
            </c:spPr>
            <c:extLst>
              <c:ext xmlns:c16="http://schemas.microsoft.com/office/drawing/2014/chart" uri="{C3380CC4-5D6E-409C-BE32-E72D297353CC}">
                <c16:uniqueId val="{00000037-DE5B-4C85-8FA5-D81B3695870D}"/>
              </c:ext>
            </c:extLst>
          </c:dPt>
          <c:dPt>
            <c:idx val="47"/>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39-DE5B-4C85-8FA5-D81B3695870D}"/>
              </c:ext>
            </c:extLst>
          </c:dPt>
          <c:dPt>
            <c:idx val="48"/>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3B-DE5B-4C85-8FA5-D81B3695870D}"/>
              </c:ext>
            </c:extLst>
          </c:dPt>
          <c:dPt>
            <c:idx val="51"/>
            <c:invertIfNegative val="0"/>
            <c:bubble3D val="0"/>
            <c:spPr>
              <a:solidFill>
                <a:srgbClr val="D20000"/>
              </a:solidFill>
              <a:ln>
                <a:noFill/>
                <a:prstDash val="solid"/>
              </a:ln>
            </c:spPr>
            <c:extLst>
              <c:ext xmlns:c16="http://schemas.microsoft.com/office/drawing/2014/chart" uri="{C3380CC4-5D6E-409C-BE32-E72D297353CC}">
                <c16:uniqueId val="{0000003D-DE5B-4C85-8FA5-D81B3695870D}"/>
              </c:ext>
            </c:extLst>
          </c:dPt>
          <c:dPt>
            <c:idx val="52"/>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3F-DE5B-4C85-8FA5-D81B3695870D}"/>
              </c:ext>
            </c:extLst>
          </c:dPt>
          <c:dPt>
            <c:idx val="53"/>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41-DE5B-4C85-8FA5-D81B3695870D}"/>
              </c:ext>
            </c:extLst>
          </c:dPt>
          <c:dPt>
            <c:idx val="56"/>
            <c:invertIfNegative val="0"/>
            <c:bubble3D val="0"/>
            <c:spPr>
              <a:solidFill>
                <a:srgbClr val="D20000"/>
              </a:solidFill>
              <a:ln>
                <a:noFill/>
                <a:prstDash val="solid"/>
              </a:ln>
            </c:spPr>
            <c:extLst>
              <c:ext xmlns:c16="http://schemas.microsoft.com/office/drawing/2014/chart" uri="{C3380CC4-5D6E-409C-BE32-E72D297353CC}">
                <c16:uniqueId val="{00000043-DE5B-4C85-8FA5-D81B3695870D}"/>
              </c:ext>
            </c:extLst>
          </c:dPt>
          <c:dPt>
            <c:idx val="57"/>
            <c:invertIfNegative val="0"/>
            <c:bubble3D val="0"/>
            <c:spPr>
              <a:solidFill>
                <a:schemeClr val="accent2">
                  <a:lumMod val="75000"/>
                </a:schemeClr>
              </a:solidFill>
              <a:ln>
                <a:noFill/>
                <a:prstDash val="solid"/>
              </a:ln>
            </c:spPr>
            <c:extLst>
              <c:ext xmlns:c16="http://schemas.microsoft.com/office/drawing/2014/chart" uri="{C3380CC4-5D6E-409C-BE32-E72D297353CC}">
                <c16:uniqueId val="{00000045-DE5B-4C85-8FA5-D81B3695870D}"/>
              </c:ext>
            </c:extLst>
          </c:dPt>
          <c:dPt>
            <c:idx val="58"/>
            <c:invertIfNegative val="0"/>
            <c:bubble3D val="0"/>
            <c:spPr>
              <a:solidFill>
                <a:schemeClr val="accent4">
                  <a:lumMod val="75000"/>
                </a:schemeClr>
              </a:solidFill>
              <a:ln>
                <a:noFill/>
                <a:prstDash val="solid"/>
              </a:ln>
            </c:spPr>
            <c:extLst>
              <c:ext xmlns:c16="http://schemas.microsoft.com/office/drawing/2014/chart" uri="{C3380CC4-5D6E-409C-BE32-E72D297353CC}">
                <c16:uniqueId val="{00000047-DE5B-4C85-8FA5-D81B3695870D}"/>
              </c:ext>
            </c:extLst>
          </c:dPt>
          <c:cat>
            <c:numRef>
              <c:f>Calculations!$C$52:$C$111</c:f>
              <c:numCache>
                <c:formatCode>General</c:formatCode>
                <c:ptCount val="60"/>
                <c:pt idx="0" formatCode="mmm">
                  <c:v>46023</c:v>
                </c:pt>
                <c:pt idx="5" formatCode="mmm">
                  <c:v>46054</c:v>
                </c:pt>
                <c:pt idx="10" formatCode="mmm">
                  <c:v>46082</c:v>
                </c:pt>
                <c:pt idx="15" formatCode="mmm">
                  <c:v>46113</c:v>
                </c:pt>
                <c:pt idx="20" formatCode="mmm">
                  <c:v>46143</c:v>
                </c:pt>
                <c:pt idx="25" formatCode="mmm">
                  <c:v>46174</c:v>
                </c:pt>
                <c:pt idx="30" formatCode="mmm">
                  <c:v>46204</c:v>
                </c:pt>
                <c:pt idx="35" formatCode="mmm">
                  <c:v>46235</c:v>
                </c:pt>
                <c:pt idx="40" formatCode="mmm">
                  <c:v>46266</c:v>
                </c:pt>
                <c:pt idx="45" formatCode="mmm">
                  <c:v>46296</c:v>
                </c:pt>
                <c:pt idx="50" formatCode="mmm">
                  <c:v>46327</c:v>
                </c:pt>
                <c:pt idx="55" formatCode="mmm">
                  <c:v>46357</c:v>
                </c:pt>
              </c:numCache>
            </c:numRef>
          </c:cat>
          <c:val>
            <c:numRef>
              <c:f>Calculations!$L$52:$L$111</c:f>
              <c:numCache>
                <c:formatCode>_-* #,##0\ [$€-407]_-;\-* #,##0\ [$€-407]_-;_-* "-"??\ [$€-407]_-;_-@_-</c:formatCode>
                <c:ptCount val="60"/>
                <c:pt idx="0">
                  <c:v>0</c:v>
                </c:pt>
                <c:pt idx="1">
                  <c:v>0</c:v>
                </c:pt>
                <c:pt idx="2">
                  <c:v>0</c:v>
                </c:pt>
                <c:pt idx="3">
                  <c:v>0</c:v>
                </c:pt>
                <c:pt idx="5">
                  <c:v>0</c:v>
                </c:pt>
                <c:pt idx="6">
                  <c:v>0</c:v>
                </c:pt>
                <c:pt idx="7">
                  <c:v>0</c:v>
                </c:pt>
                <c:pt idx="8">
                  <c:v>0</c:v>
                </c:pt>
                <c:pt idx="10">
                  <c:v>0</c:v>
                </c:pt>
                <c:pt idx="11">
                  <c:v>0</c:v>
                </c:pt>
                <c:pt idx="12">
                  <c:v>0</c:v>
                </c:pt>
                <c:pt idx="13">
                  <c:v>0</c:v>
                </c:pt>
                <c:pt idx="15">
                  <c:v>0</c:v>
                </c:pt>
                <c:pt idx="16">
                  <c:v>0</c:v>
                </c:pt>
                <c:pt idx="17">
                  <c:v>0</c:v>
                </c:pt>
                <c:pt idx="18">
                  <c:v>0</c:v>
                </c:pt>
                <c:pt idx="20">
                  <c:v>0</c:v>
                </c:pt>
                <c:pt idx="21">
                  <c:v>0</c:v>
                </c:pt>
                <c:pt idx="22">
                  <c:v>0</c:v>
                </c:pt>
                <c:pt idx="23">
                  <c:v>0</c:v>
                </c:pt>
                <c:pt idx="25">
                  <c:v>0</c:v>
                </c:pt>
                <c:pt idx="26">
                  <c:v>0</c:v>
                </c:pt>
                <c:pt idx="27">
                  <c:v>0</c:v>
                </c:pt>
                <c:pt idx="28">
                  <c:v>0</c:v>
                </c:pt>
                <c:pt idx="30">
                  <c:v>0</c:v>
                </c:pt>
                <c:pt idx="31">
                  <c:v>0</c:v>
                </c:pt>
                <c:pt idx="32">
                  <c:v>0</c:v>
                </c:pt>
                <c:pt idx="33">
                  <c:v>0</c:v>
                </c:pt>
                <c:pt idx="35">
                  <c:v>0</c:v>
                </c:pt>
                <c:pt idx="36">
                  <c:v>0</c:v>
                </c:pt>
                <c:pt idx="37">
                  <c:v>0</c:v>
                </c:pt>
                <c:pt idx="38">
                  <c:v>0</c:v>
                </c:pt>
                <c:pt idx="40">
                  <c:v>0</c:v>
                </c:pt>
                <c:pt idx="41">
                  <c:v>0</c:v>
                </c:pt>
                <c:pt idx="42">
                  <c:v>0</c:v>
                </c:pt>
                <c:pt idx="43">
                  <c:v>0</c:v>
                </c:pt>
                <c:pt idx="45">
                  <c:v>0</c:v>
                </c:pt>
                <c:pt idx="46">
                  <c:v>0</c:v>
                </c:pt>
                <c:pt idx="47">
                  <c:v>0</c:v>
                </c:pt>
                <c:pt idx="48">
                  <c:v>0</c:v>
                </c:pt>
                <c:pt idx="50">
                  <c:v>0</c:v>
                </c:pt>
                <c:pt idx="51">
                  <c:v>0</c:v>
                </c:pt>
                <c:pt idx="52">
                  <c:v>0</c:v>
                </c:pt>
                <c:pt idx="53">
                  <c:v>0</c:v>
                </c:pt>
                <c:pt idx="55">
                  <c:v>0</c:v>
                </c:pt>
                <c:pt idx="56">
                  <c:v>0</c:v>
                </c:pt>
                <c:pt idx="57">
                  <c:v>0</c:v>
                </c:pt>
                <c:pt idx="58">
                  <c:v>0</c:v>
                </c:pt>
              </c:numCache>
            </c:numRef>
          </c:val>
          <c:extLst>
            <c:ext xmlns:c16="http://schemas.microsoft.com/office/drawing/2014/chart" uri="{C3380CC4-5D6E-409C-BE32-E72D297353CC}">
              <c16:uniqueId val="{00000048-DE5B-4C85-8FA5-D81B3695870D}"/>
            </c:ext>
          </c:extLst>
        </c:ser>
        <c:ser>
          <c:idx val="1"/>
          <c:order val="1"/>
          <c:spPr>
            <a:solidFill>
              <a:schemeClr val="accent6">
                <a:lumMod val="20000"/>
                <a:lumOff val="80000"/>
              </a:schemeClr>
            </a:solidFill>
            <a:ln>
              <a:noFill/>
              <a:prstDash val="solid"/>
            </a:ln>
          </c:spPr>
          <c:invertIfNegative val="0"/>
          <c:dPt>
            <c:idx val="1"/>
            <c:invertIfNegative val="0"/>
            <c:bubble3D val="0"/>
            <c:spPr>
              <a:solidFill>
                <a:srgbClr val="FF9B9B"/>
              </a:solidFill>
              <a:ln>
                <a:noFill/>
                <a:prstDash val="solid"/>
              </a:ln>
            </c:spPr>
            <c:extLst>
              <c:ext xmlns:c16="http://schemas.microsoft.com/office/drawing/2014/chart" uri="{C3380CC4-5D6E-409C-BE32-E72D297353CC}">
                <c16:uniqueId val="{0000004A-DE5B-4C85-8FA5-D81B3695870D}"/>
              </c:ext>
            </c:extLst>
          </c:dPt>
          <c:dPt>
            <c:idx val="2"/>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4C-DE5B-4C85-8FA5-D81B3695870D}"/>
              </c:ext>
            </c:extLst>
          </c:dPt>
          <c:dPt>
            <c:idx val="3"/>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4E-DE5B-4C85-8FA5-D81B3695870D}"/>
              </c:ext>
            </c:extLst>
          </c:dPt>
          <c:dPt>
            <c:idx val="6"/>
            <c:invertIfNegative val="0"/>
            <c:bubble3D val="0"/>
            <c:spPr>
              <a:solidFill>
                <a:srgbClr val="FF9B9B"/>
              </a:solidFill>
              <a:ln>
                <a:noFill/>
                <a:prstDash val="solid"/>
              </a:ln>
            </c:spPr>
            <c:extLst>
              <c:ext xmlns:c16="http://schemas.microsoft.com/office/drawing/2014/chart" uri="{C3380CC4-5D6E-409C-BE32-E72D297353CC}">
                <c16:uniqueId val="{00000050-DE5B-4C85-8FA5-D81B3695870D}"/>
              </c:ext>
            </c:extLst>
          </c:dPt>
          <c:dPt>
            <c:idx val="7"/>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52-DE5B-4C85-8FA5-D81B3695870D}"/>
              </c:ext>
            </c:extLst>
          </c:dPt>
          <c:dPt>
            <c:idx val="8"/>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54-DE5B-4C85-8FA5-D81B3695870D}"/>
              </c:ext>
            </c:extLst>
          </c:dPt>
          <c:dPt>
            <c:idx val="11"/>
            <c:invertIfNegative val="0"/>
            <c:bubble3D val="0"/>
            <c:spPr>
              <a:solidFill>
                <a:srgbClr val="FF9B9B"/>
              </a:solidFill>
              <a:ln>
                <a:noFill/>
                <a:prstDash val="solid"/>
              </a:ln>
            </c:spPr>
            <c:extLst>
              <c:ext xmlns:c16="http://schemas.microsoft.com/office/drawing/2014/chart" uri="{C3380CC4-5D6E-409C-BE32-E72D297353CC}">
                <c16:uniqueId val="{00000056-DE5B-4C85-8FA5-D81B3695870D}"/>
              </c:ext>
            </c:extLst>
          </c:dPt>
          <c:dPt>
            <c:idx val="12"/>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58-DE5B-4C85-8FA5-D81B3695870D}"/>
              </c:ext>
            </c:extLst>
          </c:dPt>
          <c:dPt>
            <c:idx val="13"/>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5A-DE5B-4C85-8FA5-D81B3695870D}"/>
              </c:ext>
            </c:extLst>
          </c:dPt>
          <c:dPt>
            <c:idx val="16"/>
            <c:invertIfNegative val="0"/>
            <c:bubble3D val="0"/>
            <c:spPr>
              <a:solidFill>
                <a:srgbClr val="FF9B9B"/>
              </a:solidFill>
              <a:ln>
                <a:noFill/>
                <a:prstDash val="solid"/>
              </a:ln>
            </c:spPr>
            <c:extLst>
              <c:ext xmlns:c16="http://schemas.microsoft.com/office/drawing/2014/chart" uri="{C3380CC4-5D6E-409C-BE32-E72D297353CC}">
                <c16:uniqueId val="{0000005C-DE5B-4C85-8FA5-D81B3695870D}"/>
              </c:ext>
            </c:extLst>
          </c:dPt>
          <c:dPt>
            <c:idx val="17"/>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5E-DE5B-4C85-8FA5-D81B3695870D}"/>
              </c:ext>
            </c:extLst>
          </c:dPt>
          <c:dPt>
            <c:idx val="18"/>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60-DE5B-4C85-8FA5-D81B3695870D}"/>
              </c:ext>
            </c:extLst>
          </c:dPt>
          <c:dPt>
            <c:idx val="21"/>
            <c:invertIfNegative val="0"/>
            <c:bubble3D val="0"/>
            <c:spPr>
              <a:solidFill>
                <a:srgbClr val="FF9B9B"/>
              </a:solidFill>
              <a:ln>
                <a:noFill/>
                <a:prstDash val="solid"/>
              </a:ln>
            </c:spPr>
            <c:extLst>
              <c:ext xmlns:c16="http://schemas.microsoft.com/office/drawing/2014/chart" uri="{C3380CC4-5D6E-409C-BE32-E72D297353CC}">
                <c16:uniqueId val="{00000062-DE5B-4C85-8FA5-D81B3695870D}"/>
              </c:ext>
            </c:extLst>
          </c:dPt>
          <c:dPt>
            <c:idx val="22"/>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64-DE5B-4C85-8FA5-D81B3695870D}"/>
              </c:ext>
            </c:extLst>
          </c:dPt>
          <c:dPt>
            <c:idx val="23"/>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66-DE5B-4C85-8FA5-D81B3695870D}"/>
              </c:ext>
            </c:extLst>
          </c:dPt>
          <c:dPt>
            <c:idx val="26"/>
            <c:invertIfNegative val="0"/>
            <c:bubble3D val="0"/>
            <c:spPr>
              <a:solidFill>
                <a:srgbClr val="FF9B9B"/>
              </a:solidFill>
              <a:ln>
                <a:noFill/>
                <a:prstDash val="solid"/>
              </a:ln>
            </c:spPr>
            <c:extLst>
              <c:ext xmlns:c16="http://schemas.microsoft.com/office/drawing/2014/chart" uri="{C3380CC4-5D6E-409C-BE32-E72D297353CC}">
                <c16:uniqueId val="{00000068-DE5B-4C85-8FA5-D81B3695870D}"/>
              </c:ext>
            </c:extLst>
          </c:dPt>
          <c:dPt>
            <c:idx val="27"/>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6A-DE5B-4C85-8FA5-D81B3695870D}"/>
              </c:ext>
            </c:extLst>
          </c:dPt>
          <c:dPt>
            <c:idx val="28"/>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6C-DE5B-4C85-8FA5-D81B3695870D}"/>
              </c:ext>
            </c:extLst>
          </c:dPt>
          <c:dPt>
            <c:idx val="31"/>
            <c:invertIfNegative val="0"/>
            <c:bubble3D val="0"/>
            <c:spPr>
              <a:solidFill>
                <a:srgbClr val="FF9B9B"/>
              </a:solidFill>
              <a:ln>
                <a:noFill/>
                <a:prstDash val="solid"/>
              </a:ln>
            </c:spPr>
            <c:extLst>
              <c:ext xmlns:c16="http://schemas.microsoft.com/office/drawing/2014/chart" uri="{C3380CC4-5D6E-409C-BE32-E72D297353CC}">
                <c16:uniqueId val="{0000006E-DE5B-4C85-8FA5-D81B3695870D}"/>
              </c:ext>
            </c:extLst>
          </c:dPt>
          <c:dPt>
            <c:idx val="32"/>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70-DE5B-4C85-8FA5-D81B3695870D}"/>
              </c:ext>
            </c:extLst>
          </c:dPt>
          <c:dPt>
            <c:idx val="33"/>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72-DE5B-4C85-8FA5-D81B3695870D}"/>
              </c:ext>
            </c:extLst>
          </c:dPt>
          <c:dPt>
            <c:idx val="36"/>
            <c:invertIfNegative val="0"/>
            <c:bubble3D val="0"/>
            <c:spPr>
              <a:solidFill>
                <a:srgbClr val="FF9B9B"/>
              </a:solidFill>
              <a:ln>
                <a:noFill/>
                <a:prstDash val="solid"/>
              </a:ln>
            </c:spPr>
            <c:extLst>
              <c:ext xmlns:c16="http://schemas.microsoft.com/office/drawing/2014/chart" uri="{C3380CC4-5D6E-409C-BE32-E72D297353CC}">
                <c16:uniqueId val="{00000074-DE5B-4C85-8FA5-D81B3695870D}"/>
              </c:ext>
            </c:extLst>
          </c:dPt>
          <c:dPt>
            <c:idx val="37"/>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76-DE5B-4C85-8FA5-D81B3695870D}"/>
              </c:ext>
            </c:extLst>
          </c:dPt>
          <c:dPt>
            <c:idx val="38"/>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78-DE5B-4C85-8FA5-D81B3695870D}"/>
              </c:ext>
            </c:extLst>
          </c:dPt>
          <c:dPt>
            <c:idx val="41"/>
            <c:invertIfNegative val="0"/>
            <c:bubble3D val="0"/>
            <c:spPr>
              <a:solidFill>
                <a:srgbClr val="FF9B9B"/>
              </a:solidFill>
              <a:ln>
                <a:noFill/>
                <a:prstDash val="solid"/>
              </a:ln>
            </c:spPr>
            <c:extLst>
              <c:ext xmlns:c16="http://schemas.microsoft.com/office/drawing/2014/chart" uri="{C3380CC4-5D6E-409C-BE32-E72D297353CC}">
                <c16:uniqueId val="{0000007A-DE5B-4C85-8FA5-D81B3695870D}"/>
              </c:ext>
            </c:extLst>
          </c:dPt>
          <c:dPt>
            <c:idx val="42"/>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7C-DE5B-4C85-8FA5-D81B3695870D}"/>
              </c:ext>
            </c:extLst>
          </c:dPt>
          <c:dPt>
            <c:idx val="43"/>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7E-DE5B-4C85-8FA5-D81B3695870D}"/>
              </c:ext>
            </c:extLst>
          </c:dPt>
          <c:dPt>
            <c:idx val="46"/>
            <c:invertIfNegative val="0"/>
            <c:bubble3D val="0"/>
            <c:spPr>
              <a:solidFill>
                <a:srgbClr val="FF9B9B"/>
              </a:solidFill>
              <a:ln>
                <a:noFill/>
                <a:prstDash val="solid"/>
              </a:ln>
            </c:spPr>
            <c:extLst>
              <c:ext xmlns:c16="http://schemas.microsoft.com/office/drawing/2014/chart" uri="{C3380CC4-5D6E-409C-BE32-E72D297353CC}">
                <c16:uniqueId val="{00000080-DE5B-4C85-8FA5-D81B3695870D}"/>
              </c:ext>
            </c:extLst>
          </c:dPt>
          <c:dPt>
            <c:idx val="47"/>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82-DE5B-4C85-8FA5-D81B3695870D}"/>
              </c:ext>
            </c:extLst>
          </c:dPt>
          <c:dPt>
            <c:idx val="48"/>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84-DE5B-4C85-8FA5-D81B3695870D}"/>
              </c:ext>
            </c:extLst>
          </c:dPt>
          <c:dPt>
            <c:idx val="51"/>
            <c:invertIfNegative val="0"/>
            <c:bubble3D val="0"/>
            <c:spPr>
              <a:solidFill>
                <a:srgbClr val="FF9B9B"/>
              </a:solidFill>
              <a:ln>
                <a:noFill/>
                <a:prstDash val="solid"/>
              </a:ln>
            </c:spPr>
            <c:extLst>
              <c:ext xmlns:c16="http://schemas.microsoft.com/office/drawing/2014/chart" uri="{C3380CC4-5D6E-409C-BE32-E72D297353CC}">
                <c16:uniqueId val="{00000086-DE5B-4C85-8FA5-D81B3695870D}"/>
              </c:ext>
            </c:extLst>
          </c:dPt>
          <c:dPt>
            <c:idx val="52"/>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88-DE5B-4C85-8FA5-D81B3695870D}"/>
              </c:ext>
            </c:extLst>
          </c:dPt>
          <c:dPt>
            <c:idx val="53"/>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8A-DE5B-4C85-8FA5-D81B3695870D}"/>
              </c:ext>
            </c:extLst>
          </c:dPt>
          <c:dPt>
            <c:idx val="56"/>
            <c:invertIfNegative val="0"/>
            <c:bubble3D val="0"/>
            <c:spPr>
              <a:solidFill>
                <a:srgbClr val="FF9B9B"/>
              </a:solidFill>
              <a:ln>
                <a:noFill/>
                <a:prstDash val="solid"/>
              </a:ln>
            </c:spPr>
            <c:extLst>
              <c:ext xmlns:c16="http://schemas.microsoft.com/office/drawing/2014/chart" uri="{C3380CC4-5D6E-409C-BE32-E72D297353CC}">
                <c16:uniqueId val="{0000008C-DE5B-4C85-8FA5-D81B3695870D}"/>
              </c:ext>
            </c:extLst>
          </c:dPt>
          <c:dPt>
            <c:idx val="57"/>
            <c:invertIfNegative val="0"/>
            <c:bubble3D val="0"/>
            <c:spPr>
              <a:solidFill>
                <a:schemeClr val="accent2">
                  <a:lumMod val="40000"/>
                  <a:lumOff val="60000"/>
                </a:schemeClr>
              </a:solidFill>
              <a:ln>
                <a:noFill/>
                <a:prstDash val="solid"/>
              </a:ln>
            </c:spPr>
            <c:extLst>
              <c:ext xmlns:c16="http://schemas.microsoft.com/office/drawing/2014/chart" uri="{C3380CC4-5D6E-409C-BE32-E72D297353CC}">
                <c16:uniqueId val="{0000008E-DE5B-4C85-8FA5-D81B3695870D}"/>
              </c:ext>
            </c:extLst>
          </c:dPt>
          <c:dPt>
            <c:idx val="58"/>
            <c:invertIfNegative val="0"/>
            <c:bubble3D val="0"/>
            <c:spPr>
              <a:solidFill>
                <a:schemeClr val="accent4">
                  <a:lumMod val="20000"/>
                  <a:lumOff val="80000"/>
                </a:schemeClr>
              </a:solidFill>
              <a:ln>
                <a:noFill/>
                <a:prstDash val="solid"/>
              </a:ln>
            </c:spPr>
            <c:extLst>
              <c:ext xmlns:c16="http://schemas.microsoft.com/office/drawing/2014/chart" uri="{C3380CC4-5D6E-409C-BE32-E72D297353CC}">
                <c16:uniqueId val="{00000090-DE5B-4C85-8FA5-D81B3695870D}"/>
              </c:ext>
            </c:extLst>
          </c:dPt>
          <c:cat>
            <c:numRef>
              <c:f>Calculations!$C$52:$C$111</c:f>
              <c:numCache>
                <c:formatCode>General</c:formatCode>
                <c:ptCount val="60"/>
                <c:pt idx="0" formatCode="mmm">
                  <c:v>46023</c:v>
                </c:pt>
                <c:pt idx="5" formatCode="mmm">
                  <c:v>46054</c:v>
                </c:pt>
                <c:pt idx="10" formatCode="mmm">
                  <c:v>46082</c:v>
                </c:pt>
                <c:pt idx="15" formatCode="mmm">
                  <c:v>46113</c:v>
                </c:pt>
                <c:pt idx="20" formatCode="mmm">
                  <c:v>46143</c:v>
                </c:pt>
                <c:pt idx="25" formatCode="mmm">
                  <c:v>46174</c:v>
                </c:pt>
                <c:pt idx="30" formatCode="mmm">
                  <c:v>46204</c:v>
                </c:pt>
                <c:pt idx="35" formatCode="mmm">
                  <c:v>46235</c:v>
                </c:pt>
                <c:pt idx="40" formatCode="mmm">
                  <c:v>46266</c:v>
                </c:pt>
                <c:pt idx="45" formatCode="mmm">
                  <c:v>46296</c:v>
                </c:pt>
                <c:pt idx="50" formatCode="mmm">
                  <c:v>46327</c:v>
                </c:pt>
                <c:pt idx="55" formatCode="mmm">
                  <c:v>46357</c:v>
                </c:pt>
              </c:numCache>
            </c:numRef>
          </c:cat>
          <c:val>
            <c:numRef>
              <c:f>Calculations!$M$52:$M$111</c:f>
              <c:numCache>
                <c:formatCode>_-* #,##0\ [$€-407]_-;\-* #,##0\ [$€-407]_-;_-* "-"??\ [$€-407]_-;_-@_-</c:formatCode>
                <c:ptCount val="60"/>
                <c:pt idx="0">
                  <c:v>0</c:v>
                </c:pt>
                <c:pt idx="1">
                  <c:v>0</c:v>
                </c:pt>
                <c:pt idx="2">
                  <c:v>0</c:v>
                </c:pt>
                <c:pt idx="3">
                  <c:v>0</c:v>
                </c:pt>
                <c:pt idx="5">
                  <c:v>0</c:v>
                </c:pt>
                <c:pt idx="6">
                  <c:v>0</c:v>
                </c:pt>
                <c:pt idx="7">
                  <c:v>0</c:v>
                </c:pt>
                <c:pt idx="8">
                  <c:v>0</c:v>
                </c:pt>
                <c:pt idx="10">
                  <c:v>0</c:v>
                </c:pt>
                <c:pt idx="11">
                  <c:v>0</c:v>
                </c:pt>
                <c:pt idx="12">
                  <c:v>0</c:v>
                </c:pt>
                <c:pt idx="13">
                  <c:v>0</c:v>
                </c:pt>
                <c:pt idx="15">
                  <c:v>0</c:v>
                </c:pt>
                <c:pt idx="16">
                  <c:v>0</c:v>
                </c:pt>
                <c:pt idx="17">
                  <c:v>0</c:v>
                </c:pt>
                <c:pt idx="18">
                  <c:v>0</c:v>
                </c:pt>
                <c:pt idx="20">
                  <c:v>0</c:v>
                </c:pt>
                <c:pt idx="21">
                  <c:v>0</c:v>
                </c:pt>
                <c:pt idx="22">
                  <c:v>0</c:v>
                </c:pt>
                <c:pt idx="23">
                  <c:v>0</c:v>
                </c:pt>
                <c:pt idx="25">
                  <c:v>0</c:v>
                </c:pt>
                <c:pt idx="26">
                  <c:v>0</c:v>
                </c:pt>
                <c:pt idx="27">
                  <c:v>0</c:v>
                </c:pt>
                <c:pt idx="28">
                  <c:v>0</c:v>
                </c:pt>
                <c:pt idx="30">
                  <c:v>0</c:v>
                </c:pt>
                <c:pt idx="31">
                  <c:v>0</c:v>
                </c:pt>
                <c:pt idx="32">
                  <c:v>0</c:v>
                </c:pt>
                <c:pt idx="33">
                  <c:v>0</c:v>
                </c:pt>
                <c:pt idx="35">
                  <c:v>0</c:v>
                </c:pt>
                <c:pt idx="36">
                  <c:v>0</c:v>
                </c:pt>
                <c:pt idx="37">
                  <c:v>0</c:v>
                </c:pt>
                <c:pt idx="38">
                  <c:v>0</c:v>
                </c:pt>
                <c:pt idx="40">
                  <c:v>0</c:v>
                </c:pt>
                <c:pt idx="41">
                  <c:v>0</c:v>
                </c:pt>
                <c:pt idx="42">
                  <c:v>0</c:v>
                </c:pt>
                <c:pt idx="43">
                  <c:v>0</c:v>
                </c:pt>
                <c:pt idx="45">
                  <c:v>0</c:v>
                </c:pt>
                <c:pt idx="46">
                  <c:v>0</c:v>
                </c:pt>
                <c:pt idx="47">
                  <c:v>0</c:v>
                </c:pt>
                <c:pt idx="48">
                  <c:v>0</c:v>
                </c:pt>
                <c:pt idx="50">
                  <c:v>0</c:v>
                </c:pt>
                <c:pt idx="51">
                  <c:v>0</c:v>
                </c:pt>
                <c:pt idx="52">
                  <c:v>0</c:v>
                </c:pt>
                <c:pt idx="53">
                  <c:v>0</c:v>
                </c:pt>
                <c:pt idx="55">
                  <c:v>0</c:v>
                </c:pt>
                <c:pt idx="56">
                  <c:v>0</c:v>
                </c:pt>
                <c:pt idx="57">
                  <c:v>0</c:v>
                </c:pt>
                <c:pt idx="58">
                  <c:v>0</c:v>
                </c:pt>
              </c:numCache>
            </c:numRef>
          </c:val>
          <c:extLst>
            <c:ext xmlns:c16="http://schemas.microsoft.com/office/drawing/2014/chart" uri="{C3380CC4-5D6E-409C-BE32-E72D297353CC}">
              <c16:uniqueId val="{00000091-DE5B-4C85-8FA5-D81B3695870D}"/>
            </c:ext>
          </c:extLst>
        </c:ser>
        <c:ser>
          <c:idx val="2"/>
          <c:order val="2"/>
          <c:spPr>
            <a:solidFill>
              <a:schemeClr val="accent6">
                <a:lumMod val="60000"/>
                <a:lumOff val="40000"/>
              </a:schemeClr>
            </a:solidFill>
            <a:ln>
              <a:noFill/>
              <a:prstDash val="solid"/>
            </a:ln>
          </c:spPr>
          <c:invertIfNegative val="0"/>
          <c:dPt>
            <c:idx val="1"/>
            <c:invertIfNegative val="0"/>
            <c:bubble3D val="0"/>
            <c:spPr>
              <a:solidFill>
                <a:srgbClr val="FF0000"/>
              </a:solidFill>
              <a:ln>
                <a:noFill/>
                <a:prstDash val="solid"/>
              </a:ln>
            </c:spPr>
            <c:extLst>
              <c:ext xmlns:c16="http://schemas.microsoft.com/office/drawing/2014/chart" uri="{C3380CC4-5D6E-409C-BE32-E72D297353CC}">
                <c16:uniqueId val="{00000093-DE5B-4C85-8FA5-D81B3695870D}"/>
              </c:ext>
            </c:extLst>
          </c:dPt>
          <c:dPt>
            <c:idx val="2"/>
            <c:invertIfNegative val="0"/>
            <c:bubble3D val="0"/>
            <c:spPr>
              <a:solidFill>
                <a:schemeClr val="accent2"/>
              </a:solidFill>
              <a:ln>
                <a:noFill/>
                <a:prstDash val="solid"/>
              </a:ln>
            </c:spPr>
            <c:extLst>
              <c:ext xmlns:c16="http://schemas.microsoft.com/office/drawing/2014/chart" uri="{C3380CC4-5D6E-409C-BE32-E72D297353CC}">
                <c16:uniqueId val="{00000095-DE5B-4C85-8FA5-D81B3695870D}"/>
              </c:ext>
            </c:extLst>
          </c:dPt>
          <c:dPt>
            <c:idx val="3"/>
            <c:invertIfNegative val="0"/>
            <c:bubble3D val="0"/>
            <c:spPr>
              <a:solidFill>
                <a:schemeClr val="accent4"/>
              </a:solidFill>
              <a:ln>
                <a:noFill/>
                <a:prstDash val="solid"/>
              </a:ln>
            </c:spPr>
            <c:extLst>
              <c:ext xmlns:c16="http://schemas.microsoft.com/office/drawing/2014/chart" uri="{C3380CC4-5D6E-409C-BE32-E72D297353CC}">
                <c16:uniqueId val="{00000097-DE5B-4C85-8FA5-D81B3695870D}"/>
              </c:ext>
            </c:extLst>
          </c:dPt>
          <c:dPt>
            <c:idx val="6"/>
            <c:invertIfNegative val="0"/>
            <c:bubble3D val="0"/>
            <c:spPr>
              <a:solidFill>
                <a:srgbClr val="FF0000"/>
              </a:solidFill>
              <a:ln>
                <a:noFill/>
                <a:prstDash val="solid"/>
              </a:ln>
            </c:spPr>
            <c:extLst>
              <c:ext xmlns:c16="http://schemas.microsoft.com/office/drawing/2014/chart" uri="{C3380CC4-5D6E-409C-BE32-E72D297353CC}">
                <c16:uniqueId val="{00000099-DE5B-4C85-8FA5-D81B3695870D}"/>
              </c:ext>
            </c:extLst>
          </c:dPt>
          <c:dPt>
            <c:idx val="7"/>
            <c:invertIfNegative val="0"/>
            <c:bubble3D val="0"/>
            <c:spPr>
              <a:solidFill>
                <a:schemeClr val="accent2"/>
              </a:solidFill>
              <a:ln>
                <a:noFill/>
                <a:prstDash val="solid"/>
              </a:ln>
            </c:spPr>
            <c:extLst>
              <c:ext xmlns:c16="http://schemas.microsoft.com/office/drawing/2014/chart" uri="{C3380CC4-5D6E-409C-BE32-E72D297353CC}">
                <c16:uniqueId val="{0000009B-DE5B-4C85-8FA5-D81B3695870D}"/>
              </c:ext>
            </c:extLst>
          </c:dPt>
          <c:dPt>
            <c:idx val="8"/>
            <c:invertIfNegative val="0"/>
            <c:bubble3D val="0"/>
            <c:spPr>
              <a:solidFill>
                <a:schemeClr val="accent4"/>
              </a:solidFill>
              <a:ln>
                <a:noFill/>
                <a:prstDash val="solid"/>
              </a:ln>
            </c:spPr>
            <c:extLst>
              <c:ext xmlns:c16="http://schemas.microsoft.com/office/drawing/2014/chart" uri="{C3380CC4-5D6E-409C-BE32-E72D297353CC}">
                <c16:uniqueId val="{0000009D-DE5B-4C85-8FA5-D81B3695870D}"/>
              </c:ext>
            </c:extLst>
          </c:dPt>
          <c:dPt>
            <c:idx val="11"/>
            <c:invertIfNegative val="0"/>
            <c:bubble3D val="0"/>
            <c:spPr>
              <a:solidFill>
                <a:srgbClr val="FF0000"/>
              </a:solidFill>
              <a:ln>
                <a:noFill/>
                <a:prstDash val="solid"/>
              </a:ln>
            </c:spPr>
            <c:extLst>
              <c:ext xmlns:c16="http://schemas.microsoft.com/office/drawing/2014/chart" uri="{C3380CC4-5D6E-409C-BE32-E72D297353CC}">
                <c16:uniqueId val="{0000009F-DE5B-4C85-8FA5-D81B3695870D}"/>
              </c:ext>
            </c:extLst>
          </c:dPt>
          <c:dPt>
            <c:idx val="12"/>
            <c:invertIfNegative val="0"/>
            <c:bubble3D val="0"/>
            <c:spPr>
              <a:solidFill>
                <a:schemeClr val="accent2"/>
              </a:solidFill>
              <a:ln>
                <a:noFill/>
                <a:prstDash val="solid"/>
              </a:ln>
            </c:spPr>
            <c:extLst>
              <c:ext xmlns:c16="http://schemas.microsoft.com/office/drawing/2014/chart" uri="{C3380CC4-5D6E-409C-BE32-E72D297353CC}">
                <c16:uniqueId val="{000000A1-DE5B-4C85-8FA5-D81B3695870D}"/>
              </c:ext>
            </c:extLst>
          </c:dPt>
          <c:dPt>
            <c:idx val="13"/>
            <c:invertIfNegative val="0"/>
            <c:bubble3D val="0"/>
            <c:spPr>
              <a:solidFill>
                <a:schemeClr val="accent4"/>
              </a:solidFill>
              <a:ln>
                <a:noFill/>
                <a:prstDash val="solid"/>
              </a:ln>
            </c:spPr>
            <c:extLst>
              <c:ext xmlns:c16="http://schemas.microsoft.com/office/drawing/2014/chart" uri="{C3380CC4-5D6E-409C-BE32-E72D297353CC}">
                <c16:uniqueId val="{000000A3-DE5B-4C85-8FA5-D81B3695870D}"/>
              </c:ext>
            </c:extLst>
          </c:dPt>
          <c:dPt>
            <c:idx val="16"/>
            <c:invertIfNegative val="0"/>
            <c:bubble3D val="0"/>
            <c:spPr>
              <a:solidFill>
                <a:srgbClr val="FF0000"/>
              </a:solidFill>
              <a:ln>
                <a:noFill/>
                <a:prstDash val="solid"/>
              </a:ln>
            </c:spPr>
            <c:extLst>
              <c:ext xmlns:c16="http://schemas.microsoft.com/office/drawing/2014/chart" uri="{C3380CC4-5D6E-409C-BE32-E72D297353CC}">
                <c16:uniqueId val="{000000A5-DE5B-4C85-8FA5-D81B3695870D}"/>
              </c:ext>
            </c:extLst>
          </c:dPt>
          <c:dPt>
            <c:idx val="17"/>
            <c:invertIfNegative val="0"/>
            <c:bubble3D val="0"/>
            <c:spPr>
              <a:solidFill>
                <a:schemeClr val="accent2"/>
              </a:solidFill>
              <a:ln>
                <a:noFill/>
                <a:prstDash val="solid"/>
              </a:ln>
            </c:spPr>
            <c:extLst>
              <c:ext xmlns:c16="http://schemas.microsoft.com/office/drawing/2014/chart" uri="{C3380CC4-5D6E-409C-BE32-E72D297353CC}">
                <c16:uniqueId val="{000000A7-DE5B-4C85-8FA5-D81B3695870D}"/>
              </c:ext>
            </c:extLst>
          </c:dPt>
          <c:dPt>
            <c:idx val="18"/>
            <c:invertIfNegative val="0"/>
            <c:bubble3D val="0"/>
            <c:spPr>
              <a:solidFill>
                <a:schemeClr val="accent4"/>
              </a:solidFill>
              <a:ln>
                <a:noFill/>
                <a:prstDash val="solid"/>
              </a:ln>
            </c:spPr>
            <c:extLst>
              <c:ext xmlns:c16="http://schemas.microsoft.com/office/drawing/2014/chart" uri="{C3380CC4-5D6E-409C-BE32-E72D297353CC}">
                <c16:uniqueId val="{000000A9-DE5B-4C85-8FA5-D81B3695870D}"/>
              </c:ext>
            </c:extLst>
          </c:dPt>
          <c:dPt>
            <c:idx val="21"/>
            <c:invertIfNegative val="0"/>
            <c:bubble3D val="0"/>
            <c:spPr>
              <a:solidFill>
                <a:srgbClr val="FF0000"/>
              </a:solidFill>
              <a:ln>
                <a:noFill/>
                <a:prstDash val="solid"/>
              </a:ln>
            </c:spPr>
            <c:extLst>
              <c:ext xmlns:c16="http://schemas.microsoft.com/office/drawing/2014/chart" uri="{C3380CC4-5D6E-409C-BE32-E72D297353CC}">
                <c16:uniqueId val="{000000AB-DE5B-4C85-8FA5-D81B3695870D}"/>
              </c:ext>
            </c:extLst>
          </c:dPt>
          <c:dPt>
            <c:idx val="22"/>
            <c:invertIfNegative val="0"/>
            <c:bubble3D val="0"/>
            <c:spPr>
              <a:solidFill>
                <a:schemeClr val="accent2"/>
              </a:solidFill>
              <a:ln>
                <a:noFill/>
                <a:prstDash val="solid"/>
              </a:ln>
            </c:spPr>
            <c:extLst>
              <c:ext xmlns:c16="http://schemas.microsoft.com/office/drawing/2014/chart" uri="{C3380CC4-5D6E-409C-BE32-E72D297353CC}">
                <c16:uniqueId val="{000000AD-DE5B-4C85-8FA5-D81B3695870D}"/>
              </c:ext>
            </c:extLst>
          </c:dPt>
          <c:dPt>
            <c:idx val="23"/>
            <c:invertIfNegative val="0"/>
            <c:bubble3D val="0"/>
            <c:spPr>
              <a:solidFill>
                <a:schemeClr val="accent4"/>
              </a:solidFill>
              <a:ln>
                <a:noFill/>
                <a:prstDash val="solid"/>
              </a:ln>
            </c:spPr>
            <c:extLst>
              <c:ext xmlns:c16="http://schemas.microsoft.com/office/drawing/2014/chart" uri="{C3380CC4-5D6E-409C-BE32-E72D297353CC}">
                <c16:uniqueId val="{000000AF-DE5B-4C85-8FA5-D81B3695870D}"/>
              </c:ext>
            </c:extLst>
          </c:dPt>
          <c:dPt>
            <c:idx val="26"/>
            <c:invertIfNegative val="0"/>
            <c:bubble3D val="0"/>
            <c:spPr>
              <a:solidFill>
                <a:srgbClr val="FF0000"/>
              </a:solidFill>
              <a:ln>
                <a:noFill/>
                <a:prstDash val="solid"/>
              </a:ln>
            </c:spPr>
            <c:extLst>
              <c:ext xmlns:c16="http://schemas.microsoft.com/office/drawing/2014/chart" uri="{C3380CC4-5D6E-409C-BE32-E72D297353CC}">
                <c16:uniqueId val="{000000B1-DE5B-4C85-8FA5-D81B3695870D}"/>
              </c:ext>
            </c:extLst>
          </c:dPt>
          <c:dPt>
            <c:idx val="27"/>
            <c:invertIfNegative val="0"/>
            <c:bubble3D val="0"/>
            <c:spPr>
              <a:solidFill>
                <a:schemeClr val="accent2"/>
              </a:solidFill>
              <a:ln>
                <a:noFill/>
                <a:prstDash val="solid"/>
              </a:ln>
            </c:spPr>
            <c:extLst>
              <c:ext xmlns:c16="http://schemas.microsoft.com/office/drawing/2014/chart" uri="{C3380CC4-5D6E-409C-BE32-E72D297353CC}">
                <c16:uniqueId val="{000000B3-DE5B-4C85-8FA5-D81B3695870D}"/>
              </c:ext>
            </c:extLst>
          </c:dPt>
          <c:dPt>
            <c:idx val="28"/>
            <c:invertIfNegative val="0"/>
            <c:bubble3D val="0"/>
            <c:spPr>
              <a:solidFill>
                <a:schemeClr val="accent4"/>
              </a:solidFill>
              <a:ln>
                <a:noFill/>
                <a:prstDash val="solid"/>
              </a:ln>
            </c:spPr>
            <c:extLst>
              <c:ext xmlns:c16="http://schemas.microsoft.com/office/drawing/2014/chart" uri="{C3380CC4-5D6E-409C-BE32-E72D297353CC}">
                <c16:uniqueId val="{000000B5-DE5B-4C85-8FA5-D81B3695870D}"/>
              </c:ext>
            </c:extLst>
          </c:dPt>
          <c:dPt>
            <c:idx val="31"/>
            <c:invertIfNegative val="0"/>
            <c:bubble3D val="0"/>
            <c:spPr>
              <a:solidFill>
                <a:srgbClr val="FF0000"/>
              </a:solidFill>
              <a:ln>
                <a:noFill/>
                <a:prstDash val="solid"/>
              </a:ln>
            </c:spPr>
            <c:extLst>
              <c:ext xmlns:c16="http://schemas.microsoft.com/office/drawing/2014/chart" uri="{C3380CC4-5D6E-409C-BE32-E72D297353CC}">
                <c16:uniqueId val="{000000B7-DE5B-4C85-8FA5-D81B3695870D}"/>
              </c:ext>
            </c:extLst>
          </c:dPt>
          <c:dPt>
            <c:idx val="32"/>
            <c:invertIfNegative val="0"/>
            <c:bubble3D val="0"/>
            <c:spPr>
              <a:solidFill>
                <a:schemeClr val="accent2"/>
              </a:solidFill>
              <a:ln>
                <a:noFill/>
                <a:prstDash val="solid"/>
              </a:ln>
            </c:spPr>
            <c:extLst>
              <c:ext xmlns:c16="http://schemas.microsoft.com/office/drawing/2014/chart" uri="{C3380CC4-5D6E-409C-BE32-E72D297353CC}">
                <c16:uniqueId val="{000000B9-DE5B-4C85-8FA5-D81B3695870D}"/>
              </c:ext>
            </c:extLst>
          </c:dPt>
          <c:dPt>
            <c:idx val="33"/>
            <c:invertIfNegative val="0"/>
            <c:bubble3D val="0"/>
            <c:spPr>
              <a:solidFill>
                <a:schemeClr val="accent4"/>
              </a:solidFill>
              <a:ln>
                <a:noFill/>
                <a:prstDash val="solid"/>
              </a:ln>
            </c:spPr>
            <c:extLst>
              <c:ext xmlns:c16="http://schemas.microsoft.com/office/drawing/2014/chart" uri="{C3380CC4-5D6E-409C-BE32-E72D297353CC}">
                <c16:uniqueId val="{000000BB-DE5B-4C85-8FA5-D81B3695870D}"/>
              </c:ext>
            </c:extLst>
          </c:dPt>
          <c:dPt>
            <c:idx val="36"/>
            <c:invertIfNegative val="0"/>
            <c:bubble3D val="0"/>
            <c:spPr>
              <a:solidFill>
                <a:srgbClr val="FF0000"/>
              </a:solidFill>
              <a:ln>
                <a:noFill/>
                <a:prstDash val="solid"/>
              </a:ln>
            </c:spPr>
            <c:extLst>
              <c:ext xmlns:c16="http://schemas.microsoft.com/office/drawing/2014/chart" uri="{C3380CC4-5D6E-409C-BE32-E72D297353CC}">
                <c16:uniqueId val="{000000BD-DE5B-4C85-8FA5-D81B3695870D}"/>
              </c:ext>
            </c:extLst>
          </c:dPt>
          <c:dPt>
            <c:idx val="37"/>
            <c:invertIfNegative val="0"/>
            <c:bubble3D val="0"/>
            <c:spPr>
              <a:solidFill>
                <a:schemeClr val="accent2"/>
              </a:solidFill>
              <a:ln>
                <a:noFill/>
                <a:prstDash val="solid"/>
              </a:ln>
            </c:spPr>
            <c:extLst>
              <c:ext xmlns:c16="http://schemas.microsoft.com/office/drawing/2014/chart" uri="{C3380CC4-5D6E-409C-BE32-E72D297353CC}">
                <c16:uniqueId val="{000000BF-DE5B-4C85-8FA5-D81B3695870D}"/>
              </c:ext>
            </c:extLst>
          </c:dPt>
          <c:dPt>
            <c:idx val="38"/>
            <c:invertIfNegative val="0"/>
            <c:bubble3D val="0"/>
            <c:spPr>
              <a:solidFill>
                <a:schemeClr val="accent4"/>
              </a:solidFill>
              <a:ln>
                <a:noFill/>
                <a:prstDash val="solid"/>
              </a:ln>
            </c:spPr>
            <c:extLst>
              <c:ext xmlns:c16="http://schemas.microsoft.com/office/drawing/2014/chart" uri="{C3380CC4-5D6E-409C-BE32-E72D297353CC}">
                <c16:uniqueId val="{000000C1-DE5B-4C85-8FA5-D81B3695870D}"/>
              </c:ext>
            </c:extLst>
          </c:dPt>
          <c:dPt>
            <c:idx val="41"/>
            <c:invertIfNegative val="0"/>
            <c:bubble3D val="0"/>
            <c:spPr>
              <a:solidFill>
                <a:srgbClr val="FF0000"/>
              </a:solidFill>
              <a:ln>
                <a:noFill/>
                <a:prstDash val="solid"/>
              </a:ln>
            </c:spPr>
            <c:extLst>
              <c:ext xmlns:c16="http://schemas.microsoft.com/office/drawing/2014/chart" uri="{C3380CC4-5D6E-409C-BE32-E72D297353CC}">
                <c16:uniqueId val="{000000C3-DE5B-4C85-8FA5-D81B3695870D}"/>
              </c:ext>
            </c:extLst>
          </c:dPt>
          <c:dPt>
            <c:idx val="42"/>
            <c:invertIfNegative val="0"/>
            <c:bubble3D val="0"/>
            <c:spPr>
              <a:solidFill>
                <a:schemeClr val="accent2"/>
              </a:solidFill>
              <a:ln>
                <a:noFill/>
                <a:prstDash val="solid"/>
              </a:ln>
            </c:spPr>
            <c:extLst>
              <c:ext xmlns:c16="http://schemas.microsoft.com/office/drawing/2014/chart" uri="{C3380CC4-5D6E-409C-BE32-E72D297353CC}">
                <c16:uniqueId val="{000000C5-DE5B-4C85-8FA5-D81B3695870D}"/>
              </c:ext>
            </c:extLst>
          </c:dPt>
          <c:dPt>
            <c:idx val="43"/>
            <c:invertIfNegative val="0"/>
            <c:bubble3D val="0"/>
            <c:spPr>
              <a:solidFill>
                <a:schemeClr val="accent4"/>
              </a:solidFill>
              <a:ln>
                <a:noFill/>
                <a:prstDash val="solid"/>
              </a:ln>
            </c:spPr>
            <c:extLst>
              <c:ext xmlns:c16="http://schemas.microsoft.com/office/drawing/2014/chart" uri="{C3380CC4-5D6E-409C-BE32-E72D297353CC}">
                <c16:uniqueId val="{000000C7-DE5B-4C85-8FA5-D81B3695870D}"/>
              </c:ext>
            </c:extLst>
          </c:dPt>
          <c:dPt>
            <c:idx val="46"/>
            <c:invertIfNegative val="0"/>
            <c:bubble3D val="0"/>
            <c:spPr>
              <a:solidFill>
                <a:srgbClr val="FF0000"/>
              </a:solidFill>
              <a:ln>
                <a:noFill/>
                <a:prstDash val="solid"/>
              </a:ln>
            </c:spPr>
            <c:extLst>
              <c:ext xmlns:c16="http://schemas.microsoft.com/office/drawing/2014/chart" uri="{C3380CC4-5D6E-409C-BE32-E72D297353CC}">
                <c16:uniqueId val="{000000C9-DE5B-4C85-8FA5-D81B3695870D}"/>
              </c:ext>
            </c:extLst>
          </c:dPt>
          <c:dPt>
            <c:idx val="47"/>
            <c:invertIfNegative val="0"/>
            <c:bubble3D val="0"/>
            <c:spPr>
              <a:solidFill>
                <a:schemeClr val="accent2"/>
              </a:solidFill>
              <a:ln>
                <a:noFill/>
                <a:prstDash val="solid"/>
              </a:ln>
            </c:spPr>
            <c:extLst>
              <c:ext xmlns:c16="http://schemas.microsoft.com/office/drawing/2014/chart" uri="{C3380CC4-5D6E-409C-BE32-E72D297353CC}">
                <c16:uniqueId val="{000000CB-DE5B-4C85-8FA5-D81B3695870D}"/>
              </c:ext>
            </c:extLst>
          </c:dPt>
          <c:dPt>
            <c:idx val="48"/>
            <c:invertIfNegative val="0"/>
            <c:bubble3D val="0"/>
            <c:spPr>
              <a:solidFill>
                <a:schemeClr val="accent4"/>
              </a:solidFill>
              <a:ln>
                <a:noFill/>
                <a:prstDash val="solid"/>
              </a:ln>
            </c:spPr>
            <c:extLst>
              <c:ext xmlns:c16="http://schemas.microsoft.com/office/drawing/2014/chart" uri="{C3380CC4-5D6E-409C-BE32-E72D297353CC}">
                <c16:uniqueId val="{000000CD-DE5B-4C85-8FA5-D81B3695870D}"/>
              </c:ext>
            </c:extLst>
          </c:dPt>
          <c:dPt>
            <c:idx val="51"/>
            <c:invertIfNegative val="0"/>
            <c:bubble3D val="0"/>
            <c:spPr>
              <a:solidFill>
                <a:srgbClr val="FF0000"/>
              </a:solidFill>
              <a:ln>
                <a:noFill/>
                <a:prstDash val="solid"/>
              </a:ln>
            </c:spPr>
            <c:extLst>
              <c:ext xmlns:c16="http://schemas.microsoft.com/office/drawing/2014/chart" uri="{C3380CC4-5D6E-409C-BE32-E72D297353CC}">
                <c16:uniqueId val="{000000CF-DE5B-4C85-8FA5-D81B3695870D}"/>
              </c:ext>
            </c:extLst>
          </c:dPt>
          <c:dPt>
            <c:idx val="52"/>
            <c:invertIfNegative val="0"/>
            <c:bubble3D val="0"/>
            <c:spPr>
              <a:solidFill>
                <a:schemeClr val="accent2"/>
              </a:solidFill>
              <a:ln>
                <a:noFill/>
                <a:prstDash val="solid"/>
              </a:ln>
            </c:spPr>
            <c:extLst>
              <c:ext xmlns:c16="http://schemas.microsoft.com/office/drawing/2014/chart" uri="{C3380CC4-5D6E-409C-BE32-E72D297353CC}">
                <c16:uniqueId val="{000000D1-DE5B-4C85-8FA5-D81B3695870D}"/>
              </c:ext>
            </c:extLst>
          </c:dPt>
          <c:dPt>
            <c:idx val="53"/>
            <c:invertIfNegative val="0"/>
            <c:bubble3D val="0"/>
            <c:spPr>
              <a:solidFill>
                <a:schemeClr val="accent4"/>
              </a:solidFill>
              <a:ln>
                <a:noFill/>
                <a:prstDash val="solid"/>
              </a:ln>
            </c:spPr>
            <c:extLst>
              <c:ext xmlns:c16="http://schemas.microsoft.com/office/drawing/2014/chart" uri="{C3380CC4-5D6E-409C-BE32-E72D297353CC}">
                <c16:uniqueId val="{000000D3-DE5B-4C85-8FA5-D81B3695870D}"/>
              </c:ext>
            </c:extLst>
          </c:dPt>
          <c:dPt>
            <c:idx val="56"/>
            <c:invertIfNegative val="0"/>
            <c:bubble3D val="0"/>
            <c:spPr>
              <a:solidFill>
                <a:srgbClr val="FF0000"/>
              </a:solidFill>
              <a:ln>
                <a:noFill/>
                <a:prstDash val="solid"/>
              </a:ln>
            </c:spPr>
            <c:extLst>
              <c:ext xmlns:c16="http://schemas.microsoft.com/office/drawing/2014/chart" uri="{C3380CC4-5D6E-409C-BE32-E72D297353CC}">
                <c16:uniqueId val="{000000D5-DE5B-4C85-8FA5-D81B3695870D}"/>
              </c:ext>
            </c:extLst>
          </c:dPt>
          <c:dPt>
            <c:idx val="57"/>
            <c:invertIfNegative val="0"/>
            <c:bubble3D val="0"/>
            <c:spPr>
              <a:solidFill>
                <a:schemeClr val="accent2"/>
              </a:solidFill>
              <a:ln>
                <a:noFill/>
                <a:prstDash val="solid"/>
              </a:ln>
            </c:spPr>
            <c:extLst>
              <c:ext xmlns:c16="http://schemas.microsoft.com/office/drawing/2014/chart" uri="{C3380CC4-5D6E-409C-BE32-E72D297353CC}">
                <c16:uniqueId val="{000000D7-DE5B-4C85-8FA5-D81B3695870D}"/>
              </c:ext>
            </c:extLst>
          </c:dPt>
          <c:dPt>
            <c:idx val="58"/>
            <c:invertIfNegative val="0"/>
            <c:bubble3D val="0"/>
            <c:spPr>
              <a:solidFill>
                <a:schemeClr val="accent4"/>
              </a:solidFill>
              <a:ln>
                <a:noFill/>
                <a:prstDash val="solid"/>
              </a:ln>
            </c:spPr>
            <c:extLst>
              <c:ext xmlns:c16="http://schemas.microsoft.com/office/drawing/2014/chart" uri="{C3380CC4-5D6E-409C-BE32-E72D297353CC}">
                <c16:uniqueId val="{000000D9-DE5B-4C85-8FA5-D81B3695870D}"/>
              </c:ext>
            </c:extLst>
          </c:dPt>
          <c:cat>
            <c:numRef>
              <c:f>Calculations!$C$52:$C$111</c:f>
              <c:numCache>
                <c:formatCode>General</c:formatCode>
                <c:ptCount val="60"/>
                <c:pt idx="0" formatCode="mmm">
                  <c:v>46023</c:v>
                </c:pt>
                <c:pt idx="5" formatCode="mmm">
                  <c:v>46054</c:v>
                </c:pt>
                <c:pt idx="10" formatCode="mmm">
                  <c:v>46082</c:v>
                </c:pt>
                <c:pt idx="15" formatCode="mmm">
                  <c:v>46113</c:v>
                </c:pt>
                <c:pt idx="20" formatCode="mmm">
                  <c:v>46143</c:v>
                </c:pt>
                <c:pt idx="25" formatCode="mmm">
                  <c:v>46174</c:v>
                </c:pt>
                <c:pt idx="30" formatCode="mmm">
                  <c:v>46204</c:v>
                </c:pt>
                <c:pt idx="35" formatCode="mmm">
                  <c:v>46235</c:v>
                </c:pt>
                <c:pt idx="40" formatCode="mmm">
                  <c:v>46266</c:v>
                </c:pt>
                <c:pt idx="45" formatCode="mmm">
                  <c:v>46296</c:v>
                </c:pt>
                <c:pt idx="50" formatCode="mmm">
                  <c:v>46327</c:v>
                </c:pt>
                <c:pt idx="55" formatCode="mmm">
                  <c:v>46357</c:v>
                </c:pt>
              </c:numCache>
            </c:numRef>
          </c:cat>
          <c:val>
            <c:numRef>
              <c:f>Calculations!$N$52:$N$111</c:f>
              <c:numCache>
                <c:formatCode>_-* #,##0\ [$€-407]_-;\-* #,##0\ [$€-407]_-;_-* "-"??\ [$€-407]_-;_-@_-</c:formatCode>
                <c:ptCount val="60"/>
                <c:pt idx="0">
                  <c:v>0</c:v>
                </c:pt>
                <c:pt idx="1">
                  <c:v>0</c:v>
                </c:pt>
                <c:pt idx="2">
                  <c:v>0</c:v>
                </c:pt>
                <c:pt idx="3">
                  <c:v>0</c:v>
                </c:pt>
                <c:pt idx="5">
                  <c:v>0</c:v>
                </c:pt>
                <c:pt idx="6">
                  <c:v>0</c:v>
                </c:pt>
                <c:pt idx="7">
                  <c:v>0</c:v>
                </c:pt>
                <c:pt idx="8">
                  <c:v>0</c:v>
                </c:pt>
                <c:pt idx="10">
                  <c:v>0</c:v>
                </c:pt>
                <c:pt idx="11">
                  <c:v>0</c:v>
                </c:pt>
                <c:pt idx="12">
                  <c:v>0</c:v>
                </c:pt>
                <c:pt idx="13">
                  <c:v>0</c:v>
                </c:pt>
                <c:pt idx="15">
                  <c:v>0</c:v>
                </c:pt>
                <c:pt idx="16">
                  <c:v>0</c:v>
                </c:pt>
                <c:pt idx="17">
                  <c:v>0</c:v>
                </c:pt>
                <c:pt idx="18">
                  <c:v>0</c:v>
                </c:pt>
                <c:pt idx="20">
                  <c:v>0</c:v>
                </c:pt>
                <c:pt idx="21">
                  <c:v>0</c:v>
                </c:pt>
                <c:pt idx="22">
                  <c:v>0</c:v>
                </c:pt>
                <c:pt idx="23">
                  <c:v>0</c:v>
                </c:pt>
                <c:pt idx="25">
                  <c:v>0</c:v>
                </c:pt>
                <c:pt idx="26">
                  <c:v>0</c:v>
                </c:pt>
                <c:pt idx="27">
                  <c:v>0</c:v>
                </c:pt>
                <c:pt idx="28">
                  <c:v>0</c:v>
                </c:pt>
                <c:pt idx="30">
                  <c:v>0</c:v>
                </c:pt>
                <c:pt idx="31">
                  <c:v>0</c:v>
                </c:pt>
                <c:pt idx="32">
                  <c:v>0</c:v>
                </c:pt>
                <c:pt idx="33">
                  <c:v>0</c:v>
                </c:pt>
                <c:pt idx="35">
                  <c:v>0</c:v>
                </c:pt>
                <c:pt idx="36">
                  <c:v>0</c:v>
                </c:pt>
                <c:pt idx="37">
                  <c:v>0</c:v>
                </c:pt>
                <c:pt idx="38">
                  <c:v>0</c:v>
                </c:pt>
                <c:pt idx="40">
                  <c:v>0</c:v>
                </c:pt>
                <c:pt idx="41">
                  <c:v>0</c:v>
                </c:pt>
                <c:pt idx="42">
                  <c:v>0</c:v>
                </c:pt>
                <c:pt idx="43">
                  <c:v>0</c:v>
                </c:pt>
                <c:pt idx="45">
                  <c:v>0</c:v>
                </c:pt>
                <c:pt idx="46">
                  <c:v>0</c:v>
                </c:pt>
                <c:pt idx="47">
                  <c:v>0</c:v>
                </c:pt>
                <c:pt idx="48">
                  <c:v>0</c:v>
                </c:pt>
                <c:pt idx="50">
                  <c:v>0</c:v>
                </c:pt>
                <c:pt idx="51">
                  <c:v>0</c:v>
                </c:pt>
                <c:pt idx="52">
                  <c:v>0</c:v>
                </c:pt>
                <c:pt idx="53">
                  <c:v>0</c:v>
                </c:pt>
                <c:pt idx="55">
                  <c:v>0</c:v>
                </c:pt>
                <c:pt idx="56">
                  <c:v>0</c:v>
                </c:pt>
                <c:pt idx="57">
                  <c:v>0</c:v>
                </c:pt>
                <c:pt idx="58">
                  <c:v>0</c:v>
                </c:pt>
              </c:numCache>
            </c:numRef>
          </c:val>
          <c:extLst>
            <c:ext xmlns:c16="http://schemas.microsoft.com/office/drawing/2014/chart" uri="{C3380CC4-5D6E-409C-BE32-E72D297353CC}">
              <c16:uniqueId val="{000000DA-DE5B-4C85-8FA5-D81B3695870D}"/>
            </c:ext>
          </c:extLst>
        </c:ser>
        <c:ser>
          <c:idx val="3"/>
          <c:order val="3"/>
          <c:spPr>
            <a:solidFill>
              <a:srgbClr val="E2E2E2"/>
            </a:solidFill>
            <a:ln>
              <a:noFill/>
              <a:prstDash val="solid"/>
            </a:ln>
          </c:spPr>
          <c:invertIfNegative val="0"/>
          <c:cat>
            <c:numRef>
              <c:f>Calculations!$C$52:$C$111</c:f>
              <c:numCache>
                <c:formatCode>General</c:formatCode>
                <c:ptCount val="60"/>
                <c:pt idx="0" formatCode="mmm">
                  <c:v>46023</c:v>
                </c:pt>
                <c:pt idx="5" formatCode="mmm">
                  <c:v>46054</c:v>
                </c:pt>
                <c:pt idx="10" formatCode="mmm">
                  <c:v>46082</c:v>
                </c:pt>
                <c:pt idx="15" formatCode="mmm">
                  <c:v>46113</c:v>
                </c:pt>
                <c:pt idx="20" formatCode="mmm">
                  <c:v>46143</c:v>
                </c:pt>
                <c:pt idx="25" formatCode="mmm">
                  <c:v>46174</c:v>
                </c:pt>
                <c:pt idx="30" formatCode="mmm">
                  <c:v>46204</c:v>
                </c:pt>
                <c:pt idx="35" formatCode="mmm">
                  <c:v>46235</c:v>
                </c:pt>
                <c:pt idx="40" formatCode="mmm">
                  <c:v>46266</c:v>
                </c:pt>
                <c:pt idx="45" formatCode="mmm">
                  <c:v>46296</c:v>
                </c:pt>
                <c:pt idx="50" formatCode="mmm">
                  <c:v>46327</c:v>
                </c:pt>
                <c:pt idx="55" formatCode="mmm">
                  <c:v>46357</c:v>
                </c:pt>
              </c:numCache>
            </c:numRef>
          </c:cat>
          <c:val>
            <c:numRef>
              <c:f>Calculations!$O$52:$O$111</c:f>
              <c:numCache>
                <c:formatCode>_-* #,##0\ [$€-407]_-;\-* #,##0\ [$€-407]_-;_-* "-"??\ [$€-407]_-;_-@_-</c:formatCode>
                <c:ptCount val="60"/>
                <c:pt idx="0">
                  <c:v>0</c:v>
                </c:pt>
                <c:pt idx="1">
                  <c:v>0</c:v>
                </c:pt>
                <c:pt idx="2">
                  <c:v>0</c:v>
                </c:pt>
                <c:pt idx="3">
                  <c:v>0</c:v>
                </c:pt>
                <c:pt idx="5">
                  <c:v>0</c:v>
                </c:pt>
                <c:pt idx="6">
                  <c:v>0</c:v>
                </c:pt>
                <c:pt idx="7">
                  <c:v>0</c:v>
                </c:pt>
                <c:pt idx="8">
                  <c:v>0</c:v>
                </c:pt>
                <c:pt idx="10">
                  <c:v>0</c:v>
                </c:pt>
                <c:pt idx="11">
                  <c:v>0</c:v>
                </c:pt>
                <c:pt idx="12">
                  <c:v>0</c:v>
                </c:pt>
                <c:pt idx="13">
                  <c:v>0</c:v>
                </c:pt>
                <c:pt idx="15">
                  <c:v>0</c:v>
                </c:pt>
                <c:pt idx="16">
                  <c:v>0</c:v>
                </c:pt>
                <c:pt idx="17">
                  <c:v>0</c:v>
                </c:pt>
                <c:pt idx="18">
                  <c:v>0</c:v>
                </c:pt>
                <c:pt idx="20">
                  <c:v>0</c:v>
                </c:pt>
                <c:pt idx="21">
                  <c:v>0</c:v>
                </c:pt>
                <c:pt idx="22">
                  <c:v>0</c:v>
                </c:pt>
                <c:pt idx="23">
                  <c:v>0</c:v>
                </c:pt>
                <c:pt idx="25">
                  <c:v>0</c:v>
                </c:pt>
                <c:pt idx="26">
                  <c:v>0</c:v>
                </c:pt>
                <c:pt idx="27">
                  <c:v>0</c:v>
                </c:pt>
                <c:pt idx="28">
                  <c:v>0</c:v>
                </c:pt>
                <c:pt idx="30">
                  <c:v>0</c:v>
                </c:pt>
                <c:pt idx="31">
                  <c:v>0</c:v>
                </c:pt>
                <c:pt idx="32">
                  <c:v>0</c:v>
                </c:pt>
                <c:pt idx="33">
                  <c:v>0</c:v>
                </c:pt>
                <c:pt idx="35">
                  <c:v>0</c:v>
                </c:pt>
                <c:pt idx="36">
                  <c:v>0</c:v>
                </c:pt>
                <c:pt idx="37">
                  <c:v>0</c:v>
                </c:pt>
                <c:pt idx="38">
                  <c:v>0</c:v>
                </c:pt>
                <c:pt idx="40">
                  <c:v>0</c:v>
                </c:pt>
                <c:pt idx="41">
                  <c:v>0</c:v>
                </c:pt>
                <c:pt idx="42">
                  <c:v>0</c:v>
                </c:pt>
                <c:pt idx="43">
                  <c:v>0</c:v>
                </c:pt>
                <c:pt idx="45">
                  <c:v>0</c:v>
                </c:pt>
                <c:pt idx="46">
                  <c:v>0</c:v>
                </c:pt>
                <c:pt idx="47">
                  <c:v>0</c:v>
                </c:pt>
                <c:pt idx="48">
                  <c:v>0</c:v>
                </c:pt>
                <c:pt idx="50">
                  <c:v>0</c:v>
                </c:pt>
                <c:pt idx="51">
                  <c:v>0</c:v>
                </c:pt>
                <c:pt idx="52">
                  <c:v>0</c:v>
                </c:pt>
                <c:pt idx="53">
                  <c:v>0</c:v>
                </c:pt>
                <c:pt idx="55">
                  <c:v>0</c:v>
                </c:pt>
                <c:pt idx="56">
                  <c:v>0</c:v>
                </c:pt>
                <c:pt idx="57">
                  <c:v>0</c:v>
                </c:pt>
                <c:pt idx="58">
                  <c:v>0</c:v>
                </c:pt>
              </c:numCache>
            </c:numRef>
          </c:val>
          <c:extLst>
            <c:ext xmlns:c16="http://schemas.microsoft.com/office/drawing/2014/chart" uri="{C3380CC4-5D6E-409C-BE32-E72D297353CC}">
              <c16:uniqueId val="{000000DB-DE5B-4C85-8FA5-D81B3695870D}"/>
            </c:ext>
          </c:extLst>
        </c:ser>
        <c:ser>
          <c:idx val="4"/>
          <c:order val="4"/>
          <c:spPr>
            <a:solidFill>
              <a:srgbClr val="EEEEEE"/>
            </a:solidFill>
            <a:ln>
              <a:noFill/>
              <a:prstDash val="solid"/>
            </a:ln>
          </c:spPr>
          <c:invertIfNegative val="0"/>
          <c:cat>
            <c:numRef>
              <c:f>Calculations!$C$52:$C$111</c:f>
              <c:numCache>
                <c:formatCode>General</c:formatCode>
                <c:ptCount val="60"/>
                <c:pt idx="0" formatCode="mmm">
                  <c:v>46023</c:v>
                </c:pt>
                <c:pt idx="5" formatCode="mmm">
                  <c:v>46054</c:v>
                </c:pt>
                <c:pt idx="10" formatCode="mmm">
                  <c:v>46082</c:v>
                </c:pt>
                <c:pt idx="15" formatCode="mmm">
                  <c:v>46113</c:v>
                </c:pt>
                <c:pt idx="20" formatCode="mmm">
                  <c:v>46143</c:v>
                </c:pt>
                <c:pt idx="25" formatCode="mmm">
                  <c:v>46174</c:v>
                </c:pt>
                <c:pt idx="30" formatCode="mmm">
                  <c:v>46204</c:v>
                </c:pt>
                <c:pt idx="35" formatCode="mmm">
                  <c:v>46235</c:v>
                </c:pt>
                <c:pt idx="40" formatCode="mmm">
                  <c:v>46266</c:v>
                </c:pt>
                <c:pt idx="45" formatCode="mmm">
                  <c:v>46296</c:v>
                </c:pt>
                <c:pt idx="50" formatCode="mmm">
                  <c:v>46327</c:v>
                </c:pt>
                <c:pt idx="55" formatCode="mmm">
                  <c:v>46357</c:v>
                </c:pt>
              </c:numCache>
            </c:numRef>
          </c:cat>
          <c:val>
            <c:numRef>
              <c:f>Calculations!$P$52:$P$111</c:f>
              <c:numCache>
                <c:formatCode>_-* #,##0\ [$€-407]_-;\-* #,##0\ [$€-407]_-;_-* "-"??\ [$€-407]_-;_-@_-</c:formatCode>
                <c:ptCount val="60"/>
                <c:pt idx="0">
                  <c:v>0</c:v>
                </c:pt>
                <c:pt idx="1">
                  <c:v>0</c:v>
                </c:pt>
                <c:pt idx="2">
                  <c:v>0</c:v>
                </c:pt>
                <c:pt idx="3">
                  <c:v>0</c:v>
                </c:pt>
                <c:pt idx="5">
                  <c:v>0</c:v>
                </c:pt>
                <c:pt idx="6">
                  <c:v>0</c:v>
                </c:pt>
                <c:pt idx="7">
                  <c:v>0</c:v>
                </c:pt>
                <c:pt idx="8">
                  <c:v>0</c:v>
                </c:pt>
                <c:pt idx="10">
                  <c:v>0</c:v>
                </c:pt>
                <c:pt idx="11">
                  <c:v>0</c:v>
                </c:pt>
                <c:pt idx="12">
                  <c:v>0</c:v>
                </c:pt>
                <c:pt idx="13">
                  <c:v>0</c:v>
                </c:pt>
                <c:pt idx="15">
                  <c:v>0</c:v>
                </c:pt>
                <c:pt idx="16">
                  <c:v>0</c:v>
                </c:pt>
                <c:pt idx="17">
                  <c:v>0</c:v>
                </c:pt>
                <c:pt idx="18">
                  <c:v>0</c:v>
                </c:pt>
                <c:pt idx="20">
                  <c:v>0</c:v>
                </c:pt>
                <c:pt idx="21">
                  <c:v>0</c:v>
                </c:pt>
                <c:pt idx="22">
                  <c:v>0</c:v>
                </c:pt>
                <c:pt idx="23">
                  <c:v>0</c:v>
                </c:pt>
                <c:pt idx="25">
                  <c:v>0</c:v>
                </c:pt>
                <c:pt idx="26">
                  <c:v>0</c:v>
                </c:pt>
                <c:pt idx="27">
                  <c:v>0</c:v>
                </c:pt>
                <c:pt idx="28">
                  <c:v>0</c:v>
                </c:pt>
                <c:pt idx="30">
                  <c:v>0</c:v>
                </c:pt>
                <c:pt idx="31">
                  <c:v>0</c:v>
                </c:pt>
                <c:pt idx="32">
                  <c:v>0</c:v>
                </c:pt>
                <c:pt idx="33">
                  <c:v>0</c:v>
                </c:pt>
                <c:pt idx="35">
                  <c:v>0</c:v>
                </c:pt>
                <c:pt idx="36">
                  <c:v>0</c:v>
                </c:pt>
                <c:pt idx="37">
                  <c:v>0</c:v>
                </c:pt>
                <c:pt idx="38">
                  <c:v>0</c:v>
                </c:pt>
                <c:pt idx="40">
                  <c:v>0</c:v>
                </c:pt>
                <c:pt idx="41">
                  <c:v>0</c:v>
                </c:pt>
                <c:pt idx="42">
                  <c:v>0</c:v>
                </c:pt>
                <c:pt idx="43">
                  <c:v>0</c:v>
                </c:pt>
                <c:pt idx="45">
                  <c:v>0</c:v>
                </c:pt>
                <c:pt idx="46">
                  <c:v>0</c:v>
                </c:pt>
                <c:pt idx="47">
                  <c:v>0</c:v>
                </c:pt>
                <c:pt idx="48">
                  <c:v>0</c:v>
                </c:pt>
                <c:pt idx="50">
                  <c:v>0</c:v>
                </c:pt>
                <c:pt idx="51">
                  <c:v>0</c:v>
                </c:pt>
                <c:pt idx="52">
                  <c:v>0</c:v>
                </c:pt>
                <c:pt idx="53">
                  <c:v>0</c:v>
                </c:pt>
                <c:pt idx="55">
                  <c:v>0</c:v>
                </c:pt>
                <c:pt idx="56">
                  <c:v>0</c:v>
                </c:pt>
                <c:pt idx="57">
                  <c:v>0</c:v>
                </c:pt>
                <c:pt idx="58">
                  <c:v>0</c:v>
                </c:pt>
              </c:numCache>
            </c:numRef>
          </c:val>
          <c:extLst>
            <c:ext xmlns:c16="http://schemas.microsoft.com/office/drawing/2014/chart" uri="{C3380CC4-5D6E-409C-BE32-E72D297353CC}">
              <c16:uniqueId val="{000000DC-DE5B-4C85-8FA5-D81B3695870D}"/>
            </c:ext>
          </c:extLst>
        </c:ser>
        <c:ser>
          <c:idx val="5"/>
          <c:order val="5"/>
          <c:spPr>
            <a:solidFill>
              <a:srgbClr val="D1D1D1"/>
            </a:solidFill>
            <a:ln>
              <a:noFill/>
              <a:prstDash val="solid"/>
            </a:ln>
          </c:spPr>
          <c:invertIfNegative val="0"/>
          <c:cat>
            <c:numRef>
              <c:f>Calculations!$C$52:$C$111</c:f>
              <c:numCache>
                <c:formatCode>General</c:formatCode>
                <c:ptCount val="60"/>
                <c:pt idx="0" formatCode="mmm">
                  <c:v>46023</c:v>
                </c:pt>
                <c:pt idx="5" formatCode="mmm">
                  <c:v>46054</c:v>
                </c:pt>
                <c:pt idx="10" formatCode="mmm">
                  <c:v>46082</c:v>
                </c:pt>
                <c:pt idx="15" formatCode="mmm">
                  <c:v>46113</c:v>
                </c:pt>
                <c:pt idx="20" formatCode="mmm">
                  <c:v>46143</c:v>
                </c:pt>
                <c:pt idx="25" formatCode="mmm">
                  <c:v>46174</c:v>
                </c:pt>
                <c:pt idx="30" formatCode="mmm">
                  <c:v>46204</c:v>
                </c:pt>
                <c:pt idx="35" formatCode="mmm">
                  <c:v>46235</c:v>
                </c:pt>
                <c:pt idx="40" formatCode="mmm">
                  <c:v>46266</c:v>
                </c:pt>
                <c:pt idx="45" formatCode="mmm">
                  <c:v>46296</c:v>
                </c:pt>
                <c:pt idx="50" formatCode="mmm">
                  <c:v>46327</c:v>
                </c:pt>
                <c:pt idx="55" formatCode="mmm">
                  <c:v>46357</c:v>
                </c:pt>
              </c:numCache>
            </c:numRef>
          </c:cat>
          <c:val>
            <c:numRef>
              <c:f>Calculations!$Q$52:$Q$111</c:f>
              <c:numCache>
                <c:formatCode>_-* #,##0\ [$€-407]_-;\-* #,##0\ [$€-407]_-;_-* "-"??\ [$€-407]_-;_-@_-</c:formatCode>
                <c:ptCount val="60"/>
                <c:pt idx="0">
                  <c:v>0</c:v>
                </c:pt>
                <c:pt idx="1">
                  <c:v>0</c:v>
                </c:pt>
                <c:pt idx="2">
                  <c:v>0</c:v>
                </c:pt>
                <c:pt idx="3">
                  <c:v>0</c:v>
                </c:pt>
                <c:pt idx="5">
                  <c:v>0</c:v>
                </c:pt>
                <c:pt idx="6">
                  <c:v>0</c:v>
                </c:pt>
                <c:pt idx="7">
                  <c:v>0</c:v>
                </c:pt>
                <c:pt idx="8">
                  <c:v>0</c:v>
                </c:pt>
                <c:pt idx="10">
                  <c:v>0</c:v>
                </c:pt>
                <c:pt idx="11">
                  <c:v>0</c:v>
                </c:pt>
                <c:pt idx="12">
                  <c:v>0</c:v>
                </c:pt>
                <c:pt idx="13">
                  <c:v>0</c:v>
                </c:pt>
                <c:pt idx="15">
                  <c:v>0</c:v>
                </c:pt>
                <c:pt idx="16">
                  <c:v>0</c:v>
                </c:pt>
                <c:pt idx="17">
                  <c:v>0</c:v>
                </c:pt>
                <c:pt idx="18">
                  <c:v>0</c:v>
                </c:pt>
                <c:pt idx="20">
                  <c:v>0</c:v>
                </c:pt>
                <c:pt idx="21">
                  <c:v>0</c:v>
                </c:pt>
                <c:pt idx="22">
                  <c:v>0</c:v>
                </c:pt>
                <c:pt idx="23">
                  <c:v>0</c:v>
                </c:pt>
                <c:pt idx="25">
                  <c:v>0</c:v>
                </c:pt>
                <c:pt idx="26">
                  <c:v>0</c:v>
                </c:pt>
                <c:pt idx="27">
                  <c:v>0</c:v>
                </c:pt>
                <c:pt idx="28">
                  <c:v>0</c:v>
                </c:pt>
                <c:pt idx="30">
                  <c:v>0</c:v>
                </c:pt>
                <c:pt idx="31">
                  <c:v>0</c:v>
                </c:pt>
                <c:pt idx="32">
                  <c:v>0</c:v>
                </c:pt>
                <c:pt idx="33">
                  <c:v>0</c:v>
                </c:pt>
                <c:pt idx="35">
                  <c:v>0</c:v>
                </c:pt>
                <c:pt idx="36">
                  <c:v>0</c:v>
                </c:pt>
                <c:pt idx="37">
                  <c:v>0</c:v>
                </c:pt>
                <c:pt idx="38">
                  <c:v>0</c:v>
                </c:pt>
                <c:pt idx="40">
                  <c:v>0</c:v>
                </c:pt>
                <c:pt idx="41">
                  <c:v>0</c:v>
                </c:pt>
                <c:pt idx="42">
                  <c:v>0</c:v>
                </c:pt>
                <c:pt idx="43">
                  <c:v>0</c:v>
                </c:pt>
                <c:pt idx="45">
                  <c:v>0</c:v>
                </c:pt>
                <c:pt idx="46">
                  <c:v>0</c:v>
                </c:pt>
                <c:pt idx="47">
                  <c:v>0</c:v>
                </c:pt>
                <c:pt idx="48">
                  <c:v>0</c:v>
                </c:pt>
                <c:pt idx="50">
                  <c:v>0</c:v>
                </c:pt>
                <c:pt idx="51">
                  <c:v>0</c:v>
                </c:pt>
                <c:pt idx="52">
                  <c:v>0</c:v>
                </c:pt>
                <c:pt idx="53">
                  <c:v>0</c:v>
                </c:pt>
                <c:pt idx="55">
                  <c:v>0</c:v>
                </c:pt>
                <c:pt idx="56">
                  <c:v>0</c:v>
                </c:pt>
                <c:pt idx="57">
                  <c:v>0</c:v>
                </c:pt>
                <c:pt idx="58">
                  <c:v>0</c:v>
                </c:pt>
              </c:numCache>
            </c:numRef>
          </c:val>
          <c:extLst>
            <c:ext xmlns:c16="http://schemas.microsoft.com/office/drawing/2014/chart" uri="{C3380CC4-5D6E-409C-BE32-E72D297353CC}">
              <c16:uniqueId val="{000000DD-DE5B-4C85-8FA5-D81B3695870D}"/>
            </c:ext>
          </c:extLst>
        </c:ser>
        <c:dLbls>
          <c:showLegendKey val="0"/>
          <c:showVal val="0"/>
          <c:showCatName val="0"/>
          <c:showSerName val="0"/>
          <c:showPercent val="0"/>
          <c:showBubbleSize val="0"/>
        </c:dLbls>
        <c:gapWidth val="15"/>
        <c:overlap val="100"/>
        <c:axId val="1214091568"/>
        <c:axId val="1214090608"/>
      </c:barChart>
      <c:catAx>
        <c:axId val="1214091568"/>
        <c:scaling>
          <c:orientation val="minMax"/>
        </c:scaling>
        <c:delete val="0"/>
        <c:axPos val="b"/>
        <c:numFmt formatCode="mmm" sourceLinked="0"/>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0"/>
          <a:lstStyle/>
          <a:p>
            <a:pPr>
              <a:defRPr sz="900" b="0" i="0" strike="noStrike" kern="1200" baseline="0">
                <a:solidFill>
                  <a:schemeClr val="tx1">
                    <a:lumMod val="65000"/>
                    <a:lumOff val="35000"/>
                  </a:schemeClr>
                </a:solidFill>
                <a:latin typeface="+mn-lt"/>
                <a:ea typeface="+mn-ea"/>
                <a:cs typeface="+mn-cs"/>
              </a:defRPr>
            </a:pPr>
            <a:endParaRPr lang="de-DE"/>
          </a:p>
        </c:txPr>
        <c:crossAx val="1214090608"/>
        <c:crosses val="autoZero"/>
        <c:auto val="0"/>
        <c:lblAlgn val="ctr"/>
        <c:lblOffset val="100"/>
        <c:noMultiLvlLbl val="0"/>
      </c:catAx>
      <c:valAx>
        <c:axId val="1214090608"/>
        <c:scaling>
          <c:orientation val="minMax"/>
        </c:scaling>
        <c:delete val="0"/>
        <c:axPos val="l"/>
        <c:numFmt formatCode="_-* #,##0\ [$€-407]_-;\-* #,##0\ [$€-407]_-;_-* &quot;-&quot;??\ [$€-407]_-;_-@_-"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de-DE"/>
          </a:p>
        </c:txPr>
        <c:crossAx val="1214091568"/>
        <c:crosses val="autoZero"/>
        <c:crossBetween val="between"/>
      </c:valAx>
    </c:plotArea>
    <c:plotVisOnly val="1"/>
    <c:dispBlanksAs val="gap"/>
    <c:showDLblsOverMax val="1"/>
  </c:chart>
  <c:spPr>
    <a:noFill/>
    <a:ln w="9525" cap="flat" cmpd="sng" algn="ctr">
      <a:noFill/>
      <a:prstDash val="solid"/>
      <a:round/>
    </a:ln>
  </c:sp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c:style val="2"/>
  <c:chart>
    <c:autoTitleDeleted val="1"/>
    <c:plotArea>
      <c:layout>
        <c:manualLayout>
          <c:layoutTarget val="inner"/>
          <c:xMode val="edge"/>
          <c:yMode val="edge"/>
          <c:x val="6.1006467655462013E-2"/>
          <c:y val="1.397587706116888E-2"/>
          <c:w val="0.90906009447004776"/>
          <c:h val="0.85497866201839279"/>
        </c:manualLayout>
      </c:layout>
      <c:lineChart>
        <c:grouping val="standard"/>
        <c:varyColors val="0"/>
        <c:ser>
          <c:idx val="0"/>
          <c:order val="0"/>
          <c:spPr>
            <a:ln w="28575" cap="rnd">
              <a:solidFill>
                <a:schemeClr val="accent6"/>
              </a:solidFill>
              <a:prstDash val="solid"/>
              <a:round/>
            </a:ln>
          </c:spPr>
          <c:marker>
            <c:symbol val="circle"/>
            <c:size val="5"/>
            <c:spPr>
              <a:solidFill>
                <a:schemeClr val="accent6"/>
              </a:solidFill>
              <a:ln w="9525">
                <a:solidFill>
                  <a:schemeClr val="accent6"/>
                </a:solidFill>
                <a:prstDash val="solid"/>
              </a:ln>
            </c:spPr>
          </c:marker>
          <c:cat>
            <c:numRef>
              <c:f>Calculations!$S$53:$S$57</c:f>
              <c:numCache>
                <c:formatCode>General</c:formatCode>
                <c:ptCount val="5"/>
              </c:numCache>
            </c:numRef>
          </c:cat>
          <c:val>
            <c:numRef>
              <c:f>Calculations!$T$53:$T$57</c:f>
              <c:numCache>
                <c:formatCode>#,##0.00\ "€"</c:formatCode>
                <c:ptCount val="5"/>
              </c:numCache>
            </c:numRef>
          </c:val>
          <c:smooth val="0"/>
          <c:extLst>
            <c:ext xmlns:c16="http://schemas.microsoft.com/office/drawing/2014/chart" uri="{C3380CC4-5D6E-409C-BE32-E72D297353CC}">
              <c16:uniqueId val="{00000000-8C9A-4522-A622-569C15FC3573}"/>
            </c:ext>
          </c:extLst>
        </c:ser>
        <c:ser>
          <c:idx val="1"/>
          <c:order val="1"/>
          <c:spPr>
            <a:ln w="28575" cap="rnd">
              <a:solidFill>
                <a:srgbClr val="FF0000"/>
              </a:solidFill>
              <a:prstDash val="solid"/>
              <a:round/>
            </a:ln>
          </c:spPr>
          <c:marker>
            <c:symbol val="circle"/>
            <c:size val="5"/>
            <c:spPr>
              <a:solidFill>
                <a:srgbClr val="FF0000"/>
              </a:solidFill>
              <a:ln w="9525">
                <a:solidFill>
                  <a:srgbClr val="FF0000"/>
                </a:solidFill>
                <a:prstDash val="solid"/>
              </a:ln>
            </c:spPr>
          </c:marker>
          <c:cat>
            <c:numRef>
              <c:f>Calculations!$S$53:$S$57</c:f>
              <c:numCache>
                <c:formatCode>General</c:formatCode>
                <c:ptCount val="5"/>
              </c:numCache>
            </c:numRef>
          </c:cat>
          <c:val>
            <c:numRef>
              <c:f>Calculations!$U$53:$U$57</c:f>
              <c:numCache>
                <c:formatCode>#,##0.00\ "€"</c:formatCode>
                <c:ptCount val="5"/>
              </c:numCache>
            </c:numRef>
          </c:val>
          <c:smooth val="0"/>
          <c:extLst>
            <c:ext xmlns:c16="http://schemas.microsoft.com/office/drawing/2014/chart" uri="{C3380CC4-5D6E-409C-BE32-E72D297353CC}">
              <c16:uniqueId val="{00000001-8C9A-4522-A622-569C15FC3573}"/>
            </c:ext>
          </c:extLst>
        </c:ser>
        <c:ser>
          <c:idx val="2"/>
          <c:order val="2"/>
          <c:spPr>
            <a:ln w="28575" cap="rnd">
              <a:solidFill>
                <a:schemeClr val="accent2"/>
              </a:solidFill>
              <a:prstDash val="solid"/>
              <a:round/>
            </a:ln>
          </c:spPr>
          <c:marker>
            <c:symbol val="circle"/>
            <c:size val="5"/>
            <c:spPr>
              <a:solidFill>
                <a:schemeClr val="accent2"/>
              </a:solidFill>
              <a:ln w="9525">
                <a:solidFill>
                  <a:schemeClr val="accent2"/>
                </a:solidFill>
                <a:prstDash val="solid"/>
              </a:ln>
            </c:spPr>
          </c:marker>
          <c:cat>
            <c:numRef>
              <c:f>Calculations!$S$53:$S$57</c:f>
              <c:numCache>
                <c:formatCode>General</c:formatCode>
                <c:ptCount val="5"/>
              </c:numCache>
            </c:numRef>
          </c:cat>
          <c:val>
            <c:numRef>
              <c:f>Calculations!$V$53:$V$57</c:f>
              <c:numCache>
                <c:formatCode>#,##0.00\ "€"</c:formatCode>
                <c:ptCount val="5"/>
              </c:numCache>
            </c:numRef>
          </c:val>
          <c:smooth val="0"/>
          <c:extLst>
            <c:ext xmlns:c16="http://schemas.microsoft.com/office/drawing/2014/chart" uri="{C3380CC4-5D6E-409C-BE32-E72D297353CC}">
              <c16:uniqueId val="{00000002-8C9A-4522-A622-569C15FC3573}"/>
            </c:ext>
          </c:extLst>
        </c:ser>
        <c:ser>
          <c:idx val="3"/>
          <c:order val="3"/>
          <c:spPr>
            <a:ln w="28575" cap="rnd">
              <a:solidFill>
                <a:schemeClr val="accent4"/>
              </a:solidFill>
              <a:prstDash val="solid"/>
              <a:round/>
            </a:ln>
          </c:spPr>
          <c:marker>
            <c:symbol val="circle"/>
            <c:size val="5"/>
            <c:spPr>
              <a:solidFill>
                <a:schemeClr val="accent4"/>
              </a:solidFill>
              <a:ln w="9525">
                <a:solidFill>
                  <a:schemeClr val="accent4"/>
                </a:solidFill>
                <a:prstDash val="solid"/>
              </a:ln>
            </c:spPr>
          </c:marker>
          <c:cat>
            <c:numRef>
              <c:f>Calculations!$S$53:$S$57</c:f>
              <c:numCache>
                <c:formatCode>General</c:formatCode>
                <c:ptCount val="5"/>
              </c:numCache>
            </c:numRef>
          </c:cat>
          <c:val>
            <c:numRef>
              <c:f>Calculations!$X$53:$X$57</c:f>
              <c:numCache>
                <c:formatCode>#,##0.00\ "€"</c:formatCode>
                <c:ptCount val="5"/>
              </c:numCache>
            </c:numRef>
          </c:val>
          <c:smooth val="0"/>
          <c:extLst>
            <c:ext xmlns:c16="http://schemas.microsoft.com/office/drawing/2014/chart" uri="{C3380CC4-5D6E-409C-BE32-E72D297353CC}">
              <c16:uniqueId val="{00000003-8C9A-4522-A622-569C15FC3573}"/>
            </c:ext>
          </c:extLst>
        </c:ser>
        <c:dLbls>
          <c:showLegendKey val="0"/>
          <c:showVal val="0"/>
          <c:showCatName val="0"/>
          <c:showSerName val="0"/>
          <c:showPercent val="0"/>
          <c:showBubbleSize val="0"/>
        </c:dLbls>
        <c:marker val="1"/>
        <c:smooth val="0"/>
        <c:axId val="32438223"/>
        <c:axId val="32440143"/>
      </c:lineChart>
      <c:catAx>
        <c:axId val="32438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de-DE"/>
          </a:p>
        </c:txPr>
        <c:crossAx val="32440143"/>
        <c:crosses val="autoZero"/>
        <c:auto val="1"/>
        <c:lblAlgn val="ctr"/>
        <c:lblOffset val="100"/>
        <c:noMultiLvlLbl val="0"/>
      </c:catAx>
      <c:valAx>
        <c:axId val="3244014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quot;€&quot;"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de-DE"/>
          </a:p>
        </c:txPr>
        <c:crossAx val="32438223"/>
        <c:crosses val="autoZero"/>
        <c:crossBetween val="between"/>
      </c:valAx>
    </c:plotArea>
    <c:plotVisOnly val="1"/>
    <c:dispBlanksAs val="gap"/>
    <c:showDLblsOverMax val="1"/>
  </c:chart>
  <c:spPr>
    <a:noFill/>
    <a:ln w="9525" cap="flat" cmpd="sng" algn="ctr">
      <a:noFill/>
      <a:prstDash val="solid"/>
      <a:round/>
    </a:ln>
  </c:sp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c:style val="2"/>
  <c:chart>
    <c:autoTitleDeleted val="1"/>
    <c:plotArea>
      <c:layout/>
      <c:doughnutChart>
        <c:varyColors val="1"/>
        <c:ser>
          <c:idx val="0"/>
          <c:order val="0"/>
          <c:spPr>
            <a:solidFill>
              <a:schemeClr val="accent6">
                <a:lumMod val="50000"/>
              </a:schemeClr>
            </a:solidFill>
            <a:ln>
              <a:prstDash val="solid"/>
            </a:ln>
          </c:spPr>
          <c:dPt>
            <c:idx val="0"/>
            <c:bubble3D val="0"/>
            <c:spPr>
              <a:solidFill>
                <a:schemeClr val="accent2">
                  <a:lumMod val="50000"/>
                </a:schemeClr>
              </a:solidFill>
              <a:ln w="19050">
                <a:solidFill>
                  <a:schemeClr val="lt1"/>
                </a:solidFill>
                <a:prstDash val="solid"/>
              </a:ln>
            </c:spPr>
            <c:extLst>
              <c:ext xmlns:c16="http://schemas.microsoft.com/office/drawing/2014/chart" uri="{C3380CC4-5D6E-409C-BE32-E72D297353CC}">
                <c16:uniqueId val="{00000001-6288-4E42-AE54-58D9FC7ED5D2}"/>
              </c:ext>
            </c:extLst>
          </c:dPt>
          <c:dPt>
            <c:idx val="1"/>
            <c:bubble3D val="0"/>
            <c:spPr>
              <a:solidFill>
                <a:schemeClr val="accent2">
                  <a:lumMod val="75000"/>
                </a:schemeClr>
              </a:solidFill>
              <a:ln w="19050">
                <a:solidFill>
                  <a:schemeClr val="lt1"/>
                </a:solidFill>
                <a:prstDash val="solid"/>
              </a:ln>
            </c:spPr>
            <c:extLst>
              <c:ext xmlns:c16="http://schemas.microsoft.com/office/drawing/2014/chart" uri="{C3380CC4-5D6E-409C-BE32-E72D297353CC}">
                <c16:uniqueId val="{00000003-6288-4E42-AE54-58D9FC7ED5D2}"/>
              </c:ext>
            </c:extLst>
          </c:dPt>
          <c:dPt>
            <c:idx val="2"/>
            <c:bubble3D val="0"/>
            <c:spPr>
              <a:solidFill>
                <a:schemeClr val="accent2"/>
              </a:solidFill>
              <a:ln w="19050">
                <a:solidFill>
                  <a:schemeClr val="lt1"/>
                </a:solidFill>
                <a:prstDash val="solid"/>
              </a:ln>
            </c:spPr>
            <c:extLst>
              <c:ext xmlns:c16="http://schemas.microsoft.com/office/drawing/2014/chart" uri="{C3380CC4-5D6E-409C-BE32-E72D297353CC}">
                <c16:uniqueId val="{00000005-6288-4E42-AE54-58D9FC7ED5D2}"/>
              </c:ext>
            </c:extLst>
          </c:dPt>
          <c:dPt>
            <c:idx val="3"/>
            <c:bubble3D val="0"/>
            <c:spPr>
              <a:solidFill>
                <a:schemeClr val="accent2">
                  <a:lumMod val="60000"/>
                  <a:lumOff val="40000"/>
                </a:schemeClr>
              </a:solidFill>
              <a:ln w="19050">
                <a:solidFill>
                  <a:schemeClr val="lt1"/>
                </a:solidFill>
                <a:prstDash val="solid"/>
              </a:ln>
            </c:spPr>
            <c:extLst>
              <c:ext xmlns:c16="http://schemas.microsoft.com/office/drawing/2014/chart" uri="{C3380CC4-5D6E-409C-BE32-E72D297353CC}">
                <c16:uniqueId val="{00000007-6288-4E42-AE54-58D9FC7ED5D2}"/>
              </c:ext>
            </c:extLst>
          </c:dPt>
          <c:dPt>
            <c:idx val="4"/>
            <c:bubble3D val="0"/>
            <c:spPr>
              <a:solidFill>
                <a:schemeClr val="accent2">
                  <a:lumMod val="40000"/>
                  <a:lumOff val="60000"/>
                </a:schemeClr>
              </a:solidFill>
              <a:ln w="19050">
                <a:solidFill>
                  <a:schemeClr val="lt1"/>
                </a:solidFill>
                <a:prstDash val="solid"/>
              </a:ln>
            </c:spPr>
            <c:extLst>
              <c:ext xmlns:c16="http://schemas.microsoft.com/office/drawing/2014/chart" uri="{C3380CC4-5D6E-409C-BE32-E72D297353CC}">
                <c16:uniqueId val="{00000009-6288-4E42-AE54-58D9FC7ED5D2}"/>
              </c:ext>
            </c:extLst>
          </c:dPt>
          <c:dPt>
            <c:idx val="5"/>
            <c:bubble3D val="0"/>
            <c:spPr>
              <a:solidFill>
                <a:schemeClr val="bg1">
                  <a:lumMod val="75000"/>
                </a:schemeClr>
              </a:solidFill>
              <a:ln w="19050">
                <a:solidFill>
                  <a:schemeClr val="lt1"/>
                </a:solidFill>
                <a:prstDash val="solid"/>
              </a:ln>
            </c:spPr>
            <c:extLst>
              <c:ext xmlns:c16="http://schemas.microsoft.com/office/drawing/2014/chart" uri="{C3380CC4-5D6E-409C-BE32-E72D297353CC}">
                <c16:uniqueId val="{0000000B-6288-4E42-AE54-58D9FC7ED5D2}"/>
              </c:ext>
            </c:extLst>
          </c:dPt>
          <c:cat>
            <c:multiLvlStrRef>
              <c:f>Calculations!$L$34:$L$39</c:f>
            </c:multiLvlStrRef>
          </c:cat>
          <c:val>
            <c:numRef>
              <c:f>Calculations!$M$34:$M$39</c:f>
              <c:numCache>
                <c:formatCode>_-* #,##0\ "€"_-;\-* #,##0\ "€"_-;_-* "-"??\ "€"_-;_-@_-</c:formatCode>
                <c:ptCount val="6"/>
                <c:pt idx="0">
                  <c:v>0</c:v>
                </c:pt>
                <c:pt idx="1">
                  <c:v>0</c:v>
                </c:pt>
                <c:pt idx="2">
                  <c:v>0</c:v>
                </c:pt>
                <c:pt idx="3">
                  <c:v>0</c:v>
                </c:pt>
                <c:pt idx="4">
                  <c:v>0</c:v>
                </c:pt>
                <c:pt idx="5" formatCode="General">
                  <c:v>0</c:v>
                </c:pt>
              </c:numCache>
            </c:numRef>
          </c:val>
          <c:extLst>
            <c:ext xmlns:c16="http://schemas.microsoft.com/office/drawing/2014/chart" uri="{C3380CC4-5D6E-409C-BE32-E72D297353CC}">
              <c16:uniqueId val="{0000000C-6288-4E42-AE54-58D9FC7ED5D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1"/>
  </c:chart>
  <c:spPr>
    <a:noFill/>
    <a:ln w="9525" cap="flat" cmpd="sng" algn="ctr">
      <a:noFill/>
      <a:prstDash val="solid"/>
      <a:round/>
    </a:ln>
  </c:sp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c:style val="2"/>
  <c:chart>
    <c:autoTitleDeleted val="1"/>
    <c:plotArea>
      <c:layout/>
      <c:doughnutChart>
        <c:varyColors val="1"/>
        <c:ser>
          <c:idx val="0"/>
          <c:order val="0"/>
          <c:spPr>
            <a:solidFill>
              <a:schemeClr val="accent6">
                <a:lumMod val="50000"/>
              </a:schemeClr>
            </a:solidFill>
            <a:ln>
              <a:prstDash val="solid"/>
            </a:ln>
          </c:spPr>
          <c:dPt>
            <c:idx val="0"/>
            <c:bubble3D val="0"/>
            <c:spPr>
              <a:solidFill>
                <a:srgbClr val="920000"/>
              </a:solidFill>
              <a:ln w="19050">
                <a:solidFill>
                  <a:schemeClr val="lt1"/>
                </a:solidFill>
                <a:prstDash val="solid"/>
              </a:ln>
            </c:spPr>
            <c:extLst>
              <c:ext xmlns:c16="http://schemas.microsoft.com/office/drawing/2014/chart" uri="{C3380CC4-5D6E-409C-BE32-E72D297353CC}">
                <c16:uniqueId val="{00000001-A55F-4E32-9A7B-E91E6050ED65}"/>
              </c:ext>
            </c:extLst>
          </c:dPt>
          <c:dPt>
            <c:idx val="1"/>
            <c:bubble3D val="0"/>
            <c:spPr>
              <a:solidFill>
                <a:srgbClr val="D20000"/>
              </a:solidFill>
              <a:ln w="19050">
                <a:solidFill>
                  <a:schemeClr val="lt1"/>
                </a:solidFill>
                <a:prstDash val="solid"/>
              </a:ln>
            </c:spPr>
            <c:extLst>
              <c:ext xmlns:c16="http://schemas.microsoft.com/office/drawing/2014/chart" uri="{C3380CC4-5D6E-409C-BE32-E72D297353CC}">
                <c16:uniqueId val="{00000003-A55F-4E32-9A7B-E91E6050ED65}"/>
              </c:ext>
            </c:extLst>
          </c:dPt>
          <c:dPt>
            <c:idx val="2"/>
            <c:bubble3D val="0"/>
            <c:spPr>
              <a:solidFill>
                <a:srgbClr val="FF0000"/>
              </a:solidFill>
              <a:ln w="19050">
                <a:solidFill>
                  <a:schemeClr val="lt1"/>
                </a:solidFill>
                <a:prstDash val="solid"/>
              </a:ln>
            </c:spPr>
            <c:extLst>
              <c:ext xmlns:c16="http://schemas.microsoft.com/office/drawing/2014/chart" uri="{C3380CC4-5D6E-409C-BE32-E72D297353CC}">
                <c16:uniqueId val="{00000005-A55F-4E32-9A7B-E91E6050ED65}"/>
              </c:ext>
            </c:extLst>
          </c:dPt>
          <c:dPt>
            <c:idx val="3"/>
            <c:bubble3D val="0"/>
            <c:spPr>
              <a:solidFill>
                <a:srgbClr val="FF6565"/>
              </a:solidFill>
              <a:ln w="19050">
                <a:solidFill>
                  <a:schemeClr val="lt1"/>
                </a:solidFill>
                <a:prstDash val="solid"/>
              </a:ln>
            </c:spPr>
            <c:extLst>
              <c:ext xmlns:c16="http://schemas.microsoft.com/office/drawing/2014/chart" uri="{C3380CC4-5D6E-409C-BE32-E72D297353CC}">
                <c16:uniqueId val="{00000007-A55F-4E32-9A7B-E91E6050ED65}"/>
              </c:ext>
            </c:extLst>
          </c:dPt>
          <c:dPt>
            <c:idx val="4"/>
            <c:bubble3D val="0"/>
            <c:spPr>
              <a:solidFill>
                <a:srgbClr val="FF9B9B"/>
              </a:solidFill>
              <a:ln w="19050">
                <a:solidFill>
                  <a:schemeClr val="lt1"/>
                </a:solidFill>
                <a:prstDash val="solid"/>
              </a:ln>
            </c:spPr>
            <c:extLst>
              <c:ext xmlns:c16="http://schemas.microsoft.com/office/drawing/2014/chart" uri="{C3380CC4-5D6E-409C-BE32-E72D297353CC}">
                <c16:uniqueId val="{00000009-A55F-4E32-9A7B-E91E6050ED65}"/>
              </c:ext>
            </c:extLst>
          </c:dPt>
          <c:dPt>
            <c:idx val="5"/>
            <c:bubble3D val="0"/>
            <c:spPr>
              <a:solidFill>
                <a:schemeClr val="bg1">
                  <a:lumMod val="75000"/>
                </a:schemeClr>
              </a:solidFill>
              <a:ln w="19050">
                <a:solidFill>
                  <a:schemeClr val="lt1"/>
                </a:solidFill>
                <a:prstDash val="solid"/>
              </a:ln>
            </c:spPr>
            <c:extLst>
              <c:ext xmlns:c16="http://schemas.microsoft.com/office/drawing/2014/chart" uri="{C3380CC4-5D6E-409C-BE32-E72D297353CC}">
                <c16:uniqueId val="{0000000B-A55F-4E32-9A7B-E91E6050ED65}"/>
              </c:ext>
            </c:extLst>
          </c:dPt>
          <c:val>
            <c:numRef>
              <c:f>Calculations!$I$34:$I$39</c:f>
              <c:numCache>
                <c:formatCode>_-* #,##0\ "€"_-;\-* #,##0\ "€"_-;_-* "-"??\ "€"_-;_-@_-</c:formatCode>
                <c:ptCount val="6"/>
                <c:pt idx="0">
                  <c:v>0</c:v>
                </c:pt>
                <c:pt idx="1">
                  <c:v>0</c:v>
                </c:pt>
                <c:pt idx="2">
                  <c:v>0</c:v>
                </c:pt>
                <c:pt idx="3">
                  <c:v>0</c:v>
                </c:pt>
                <c:pt idx="4" formatCode="General">
                  <c:v>0</c:v>
                </c:pt>
                <c:pt idx="5" formatCode="General">
                  <c:v>0</c:v>
                </c:pt>
              </c:numCache>
            </c:numRef>
          </c:val>
          <c:extLst>
            <c:ext xmlns:c16="http://schemas.microsoft.com/office/drawing/2014/chart" uri="{C3380CC4-5D6E-409C-BE32-E72D297353CC}">
              <c16:uniqueId val="{0000000C-A55F-4E32-9A7B-E91E6050ED6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1"/>
  </c:chart>
  <c:spPr>
    <a:noFill/>
    <a:ln w="9525" cap="flat" cmpd="sng" algn="ctr">
      <a:noFill/>
      <a:prstDash val="solid"/>
      <a:round/>
    </a:ln>
  </c:sp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c:style val="2"/>
  <c:chart>
    <c:autoTitleDeleted val="1"/>
    <c:plotArea>
      <c:layout/>
      <c:doughnutChart>
        <c:varyColors val="1"/>
        <c:ser>
          <c:idx val="0"/>
          <c:order val="0"/>
          <c:spPr>
            <a:solidFill>
              <a:schemeClr val="accent6">
                <a:lumMod val="50000"/>
              </a:schemeClr>
            </a:solidFill>
            <a:ln>
              <a:prstDash val="solid"/>
            </a:ln>
          </c:spPr>
          <c:dPt>
            <c:idx val="0"/>
            <c:bubble3D val="0"/>
            <c:spPr>
              <a:solidFill>
                <a:schemeClr val="accent4">
                  <a:lumMod val="50000"/>
                </a:schemeClr>
              </a:solidFill>
              <a:ln w="19050">
                <a:solidFill>
                  <a:schemeClr val="lt1"/>
                </a:solidFill>
                <a:prstDash val="solid"/>
              </a:ln>
            </c:spPr>
            <c:extLst>
              <c:ext xmlns:c16="http://schemas.microsoft.com/office/drawing/2014/chart" uri="{C3380CC4-5D6E-409C-BE32-E72D297353CC}">
                <c16:uniqueId val="{00000001-C58D-4644-BAF4-EAE5FE4556E4}"/>
              </c:ext>
            </c:extLst>
          </c:dPt>
          <c:dPt>
            <c:idx val="1"/>
            <c:bubble3D val="0"/>
            <c:spPr>
              <a:solidFill>
                <a:schemeClr val="accent4">
                  <a:lumMod val="75000"/>
                </a:schemeClr>
              </a:solidFill>
              <a:ln w="19050">
                <a:solidFill>
                  <a:schemeClr val="lt1"/>
                </a:solidFill>
                <a:prstDash val="solid"/>
              </a:ln>
            </c:spPr>
            <c:extLst>
              <c:ext xmlns:c16="http://schemas.microsoft.com/office/drawing/2014/chart" uri="{C3380CC4-5D6E-409C-BE32-E72D297353CC}">
                <c16:uniqueId val="{00000003-C58D-4644-BAF4-EAE5FE4556E4}"/>
              </c:ext>
            </c:extLst>
          </c:dPt>
          <c:dPt>
            <c:idx val="2"/>
            <c:bubble3D val="0"/>
            <c:spPr>
              <a:solidFill>
                <a:schemeClr val="accent4"/>
              </a:solidFill>
              <a:ln w="19050">
                <a:solidFill>
                  <a:schemeClr val="bg1"/>
                </a:solidFill>
                <a:prstDash val="solid"/>
              </a:ln>
            </c:spPr>
            <c:extLst>
              <c:ext xmlns:c16="http://schemas.microsoft.com/office/drawing/2014/chart" uri="{C3380CC4-5D6E-409C-BE32-E72D297353CC}">
                <c16:uniqueId val="{00000005-C58D-4644-BAF4-EAE5FE4556E4}"/>
              </c:ext>
            </c:extLst>
          </c:dPt>
          <c:dPt>
            <c:idx val="3"/>
            <c:bubble3D val="0"/>
            <c:spPr>
              <a:solidFill>
                <a:schemeClr val="accent4">
                  <a:lumMod val="60000"/>
                  <a:lumOff val="40000"/>
                </a:schemeClr>
              </a:solidFill>
              <a:ln w="19050">
                <a:solidFill>
                  <a:schemeClr val="bg1"/>
                </a:solidFill>
                <a:prstDash val="solid"/>
              </a:ln>
            </c:spPr>
            <c:extLst>
              <c:ext xmlns:c16="http://schemas.microsoft.com/office/drawing/2014/chart" uri="{C3380CC4-5D6E-409C-BE32-E72D297353CC}">
                <c16:uniqueId val="{00000007-C58D-4644-BAF4-EAE5FE4556E4}"/>
              </c:ext>
            </c:extLst>
          </c:dPt>
          <c:dPt>
            <c:idx val="4"/>
            <c:bubble3D val="0"/>
            <c:spPr>
              <a:solidFill>
                <a:schemeClr val="accent4">
                  <a:lumMod val="40000"/>
                  <a:lumOff val="60000"/>
                </a:schemeClr>
              </a:solidFill>
              <a:ln w="19050">
                <a:solidFill>
                  <a:schemeClr val="lt1"/>
                </a:solidFill>
                <a:prstDash val="solid"/>
              </a:ln>
            </c:spPr>
            <c:extLst>
              <c:ext xmlns:c16="http://schemas.microsoft.com/office/drawing/2014/chart" uri="{C3380CC4-5D6E-409C-BE32-E72D297353CC}">
                <c16:uniqueId val="{00000009-C58D-4644-BAF4-EAE5FE4556E4}"/>
              </c:ext>
            </c:extLst>
          </c:dPt>
          <c:dPt>
            <c:idx val="5"/>
            <c:bubble3D val="0"/>
            <c:spPr>
              <a:solidFill>
                <a:schemeClr val="bg1">
                  <a:lumMod val="75000"/>
                </a:schemeClr>
              </a:solidFill>
              <a:ln w="19050">
                <a:solidFill>
                  <a:schemeClr val="lt1"/>
                </a:solidFill>
                <a:prstDash val="solid"/>
              </a:ln>
            </c:spPr>
            <c:extLst>
              <c:ext xmlns:c16="http://schemas.microsoft.com/office/drawing/2014/chart" uri="{C3380CC4-5D6E-409C-BE32-E72D297353CC}">
                <c16:uniqueId val="{0000000B-C58D-4644-BAF4-EAE5FE4556E4}"/>
              </c:ext>
            </c:extLst>
          </c:dPt>
          <c:cat>
            <c:multiLvlStrRef>
              <c:f>Calculations!$P$34:$P$39</c:f>
            </c:multiLvlStrRef>
          </c:cat>
          <c:val>
            <c:numRef>
              <c:f>Calculations!$Q$34:$Q$39</c:f>
              <c:numCache>
                <c:formatCode>_-* #,##0\ "€"_-;\-* #,##0\ "€"_-;_-* "-"??\ "€"_-;_-@_-</c:formatCode>
                <c:ptCount val="6"/>
                <c:pt idx="0">
                  <c:v>0</c:v>
                </c:pt>
                <c:pt idx="1">
                  <c:v>0</c:v>
                </c:pt>
                <c:pt idx="2">
                  <c:v>0</c:v>
                </c:pt>
                <c:pt idx="3">
                  <c:v>0</c:v>
                </c:pt>
                <c:pt idx="4">
                  <c:v>0</c:v>
                </c:pt>
                <c:pt idx="5" formatCode="General">
                  <c:v>0</c:v>
                </c:pt>
              </c:numCache>
            </c:numRef>
          </c:val>
          <c:extLst>
            <c:ext xmlns:c16="http://schemas.microsoft.com/office/drawing/2014/chart" uri="{C3380CC4-5D6E-409C-BE32-E72D297353CC}">
              <c16:uniqueId val="{0000000C-C58D-4644-BAF4-EAE5FE4556E4}"/>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1"/>
  </c:chart>
  <c:spPr>
    <a:noFill/>
    <a:ln w="9525" cap="flat" cmpd="sng" algn="ctr">
      <a:noFill/>
      <a:prstDash val="solid"/>
      <a:round/>
    </a:ln>
  </c:sp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tx>
            <c:strRef>
              <c:f>Calculations!$AB$52</c:f>
              <c:strCache>
                <c:ptCount val="1"/>
                <c:pt idx="0">
                  <c:v>Betrag</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48F-4B99-AC5B-2EFB79464E5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48F-4B99-AC5B-2EFB79464E5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48F-4B99-AC5B-2EFB79464E5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48F-4B99-AC5B-2EFB79464E5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48F-4B99-AC5B-2EFB79464E5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48F-4B99-AC5B-2EFB79464E5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48F-4B99-AC5B-2EFB79464E5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48F-4B99-AC5B-2EFB79464E5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48F-4B99-AC5B-2EFB79464E5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48F-4B99-AC5B-2EFB79464E5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48F-4B99-AC5B-2EFB79464E5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48F-4B99-AC5B-2EFB79464E52}"/>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48F-4B99-AC5B-2EFB79464E52}"/>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48F-4B99-AC5B-2EFB79464E52}"/>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48F-4B99-AC5B-2EFB79464E52}"/>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A48F-4B99-AC5B-2EFB79464E52}"/>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A48F-4B99-AC5B-2EFB79464E52}"/>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A48F-4B99-AC5B-2EFB79464E52}"/>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A48F-4B99-AC5B-2EFB79464E52}"/>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A48F-4B99-AC5B-2EFB79464E52}"/>
              </c:ext>
            </c:extLst>
          </c:dPt>
          <c:dLbls>
            <c:dLbl>
              <c:idx val="0"/>
              <c:layout>
                <c:manualLayout>
                  <c:x val="0.37532170891088174"/>
                  <c:y val="-0.74106558138637169"/>
                </c:manualLayout>
              </c:layout>
              <c:showLegendKey val="1"/>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A48F-4B99-AC5B-2EFB79464E5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1"/>
            <c:showVal val="0"/>
            <c:showCatName val="1"/>
            <c:showSerName val="0"/>
            <c:showPercent val="1"/>
            <c:showBubbleSize val="0"/>
            <c:separator> </c:separator>
            <c:showLeaderLines val="0"/>
            <c:extLst>
              <c:ext xmlns:c15="http://schemas.microsoft.com/office/drawing/2012/chart" uri="{CE6537A1-D6FC-4f65-9D91-7224C49458BB}"/>
            </c:extLst>
          </c:dLbls>
          <c:cat>
            <c:multiLvlStrRef>
              <c:f>Calculations!$AA$53:$AA$72</c:f>
            </c:multiLvlStrRef>
          </c:cat>
          <c:val>
            <c:numRef>
              <c:f>Calculations!$AB$53:$AB$72</c:f>
              <c:numCache>
                <c:formatCode>#,##0.00\ "€"</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1-8F47-4DCA-8B4E-12F7B52C9AF9}"/>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bg1">
                <a:lumMod val="75000"/>
              </a:schemeClr>
            </a:solidFill>
            <a:ln>
              <a:noFill/>
            </a:ln>
            <a:effectLst/>
          </c:spPr>
          <c:invertIfNegative val="0"/>
          <c:val>
            <c:numRef>
              <c:f>Calculations!$D$24</c:f>
              <c:numCache>
                <c:formatCode>0%</c:formatCode>
                <c:ptCount val="1"/>
                <c:pt idx="0">
                  <c:v>0.16129032258064516</c:v>
                </c:pt>
              </c:numCache>
            </c:numRef>
          </c:val>
          <c:extLst>
            <c:ext xmlns:c16="http://schemas.microsoft.com/office/drawing/2014/chart" uri="{C3380CC4-5D6E-409C-BE32-E72D297353CC}">
              <c16:uniqueId val="{00000000-A292-4367-A972-CDBFA04A17D8}"/>
            </c:ext>
          </c:extLst>
        </c:ser>
        <c:dLbls>
          <c:showLegendKey val="0"/>
          <c:showVal val="0"/>
          <c:showCatName val="0"/>
          <c:showSerName val="0"/>
          <c:showPercent val="0"/>
          <c:showBubbleSize val="0"/>
        </c:dLbls>
        <c:gapWidth val="0"/>
        <c:axId val="330624336"/>
        <c:axId val="330616176"/>
      </c:barChart>
      <c:catAx>
        <c:axId val="330624336"/>
        <c:scaling>
          <c:orientation val="minMax"/>
        </c:scaling>
        <c:delete val="1"/>
        <c:axPos val="l"/>
        <c:majorTickMark val="none"/>
        <c:minorTickMark val="none"/>
        <c:tickLblPos val="nextTo"/>
        <c:crossAx val="330616176"/>
        <c:crosses val="autoZero"/>
        <c:auto val="1"/>
        <c:lblAlgn val="ctr"/>
        <c:lblOffset val="100"/>
        <c:noMultiLvlLbl val="0"/>
      </c:catAx>
      <c:valAx>
        <c:axId val="330616176"/>
        <c:scaling>
          <c:orientation val="minMax"/>
          <c:max val="1"/>
        </c:scaling>
        <c:delete val="1"/>
        <c:axPos val="b"/>
        <c:numFmt formatCode="0%" sourceLinked="1"/>
        <c:majorTickMark val="none"/>
        <c:minorTickMark val="none"/>
        <c:tickLblPos val="nextTo"/>
        <c:crossAx val="330624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alculations!$D$45" lockText="1" noThreeD="1"/>
</file>

<file path=xl/ctrlProps/ctrlProp2.xml><?xml version="1.0" encoding="utf-8"?>
<formControlPr xmlns="http://schemas.microsoft.com/office/spreadsheetml/2009/9/main" objectType="CheckBox" checked="Checked" fmlaLink="Calculations!$D$46" lockText="1" noThreeD="1"/>
</file>

<file path=xl/ctrlProps/ctrlProp3.xml><?xml version="1.0" encoding="utf-8"?>
<formControlPr xmlns="http://schemas.microsoft.com/office/spreadsheetml/2009/9/main" objectType="CheckBox" checked="Checked" fmlaLink="Calculations!$D$47" lockText="1" noThreeD="1"/>
</file>

<file path=xl/ctrlProps/ctrlProp4.xml><?xml version="1.0" encoding="utf-8"?>
<formControlPr xmlns="http://schemas.microsoft.com/office/spreadsheetml/2009/9/main" objectType="CheckBox" checked="Checked" fmlaLink="Calculations!$D$48" lockText="1" noThreeD="1"/>
</file>

<file path=xl/ctrlProps/ctrlProp5.xml><?xml version="1.0" encoding="utf-8"?>
<formControlPr xmlns="http://schemas.microsoft.com/office/spreadsheetml/2009/9/main" objectType="CheckBox" checked="Checked" fmlaLink="Calculations!$D$49" lockText="1" noThreeD="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3</xdr:col>
      <xdr:colOff>350520</xdr:colOff>
      <xdr:row>1</xdr:row>
      <xdr:rowOff>175260</xdr:rowOff>
    </xdr:from>
    <xdr:to>
      <xdr:col>3</xdr:col>
      <xdr:colOff>2255520</xdr:colOff>
      <xdr:row>5</xdr:row>
      <xdr:rowOff>167640</xdr:rowOff>
    </xdr:to>
    <xdr:grpSp>
      <xdr:nvGrpSpPr>
        <xdr:cNvPr id="2" name="Gruppieren 1">
          <a:extLst>
            <a:ext uri="{FF2B5EF4-FFF2-40B4-BE49-F238E27FC236}">
              <a16:creationId xmlns:a16="http://schemas.microsoft.com/office/drawing/2014/main" id="{6175AA7C-6D21-4B9E-9E98-4A417393F635}"/>
            </a:ext>
          </a:extLst>
        </xdr:cNvPr>
        <xdr:cNvGrpSpPr/>
      </xdr:nvGrpSpPr>
      <xdr:grpSpPr>
        <a:xfrm>
          <a:off x="3101340" y="358140"/>
          <a:ext cx="1905000" cy="731520"/>
          <a:chOff x="3454513" y="567835"/>
          <a:chExt cx="1529673" cy="1038225"/>
        </a:xfrm>
        <a:solidFill>
          <a:schemeClr val="bg1">
            <a:lumMod val="85000"/>
          </a:schemeClr>
        </a:solidFill>
        <a:effectLst>
          <a:outerShdw blurRad="50800" dist="38100" dir="13500000" algn="br" rotWithShape="0">
            <a:prstClr val="black">
              <a:alpha val="40000"/>
            </a:prstClr>
          </a:outerShdw>
        </a:effectLst>
      </xdr:grpSpPr>
      <xdr:sp macro="[0]!Transfer" textlink="">
        <xdr:nvSpPr>
          <xdr:cNvPr id="3" name="Rechteck: abgerundete Ecken 2">
            <a:extLst>
              <a:ext uri="{FF2B5EF4-FFF2-40B4-BE49-F238E27FC236}">
                <a16:creationId xmlns:a16="http://schemas.microsoft.com/office/drawing/2014/main" id="{2B256DD3-55CC-6C2C-F53F-C06FFB0B044D}"/>
              </a:ext>
            </a:extLst>
          </xdr:cNvPr>
          <xdr:cNvSpPr/>
        </xdr:nvSpPr>
        <xdr:spPr>
          <a:xfrm>
            <a:off x="3454513" y="567835"/>
            <a:ext cx="1529673" cy="1038225"/>
          </a:xfrm>
          <a:prstGeom prst="roundRect">
            <a:avLst/>
          </a:prstGeom>
          <a:grp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Transfer" textlink="">
        <xdr:nvSpPr>
          <xdr:cNvPr id="4" name="Textfeld 3">
            <a:extLst>
              <a:ext uri="{FF2B5EF4-FFF2-40B4-BE49-F238E27FC236}">
                <a16:creationId xmlns:a16="http://schemas.microsoft.com/office/drawing/2014/main" id="{0E3AECEC-96E2-DA5C-CCAC-9CFA775F5C5B}"/>
              </a:ext>
            </a:extLst>
          </xdr:cNvPr>
          <xdr:cNvSpPr txBox="1"/>
        </xdr:nvSpPr>
        <xdr:spPr>
          <a:xfrm>
            <a:off x="3466461" y="726120"/>
            <a:ext cx="1484789" cy="718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b="1">
                <a:latin typeface="Calibri" panose="020F0502020204030204" pitchFamily="34" charset="0"/>
                <a:ea typeface="Calibri" panose="020F0502020204030204" pitchFamily="34" charset="0"/>
                <a:cs typeface="Calibri" panose="020F0502020204030204" pitchFamily="34" charset="0"/>
              </a:rPr>
              <a:t>Transfer</a:t>
            </a:r>
            <a:endParaRPr lang="de-DE" sz="1000"/>
          </a:p>
        </xdr:txBody>
      </xdr:sp>
    </xdr:grpSp>
    <xdr:clientData/>
  </xdr:twoCellAnchor>
  <xdr:twoCellAnchor editAs="absolute">
    <xdr:from>
      <xdr:col>1</xdr:col>
      <xdr:colOff>76200</xdr:colOff>
      <xdr:row>1</xdr:row>
      <xdr:rowOff>175260</xdr:rowOff>
    </xdr:from>
    <xdr:to>
      <xdr:col>2</xdr:col>
      <xdr:colOff>746760</xdr:colOff>
      <xdr:row>5</xdr:row>
      <xdr:rowOff>167640</xdr:rowOff>
    </xdr:to>
    <xdr:grpSp>
      <xdr:nvGrpSpPr>
        <xdr:cNvPr id="5" name="Gruppieren 4">
          <a:extLst>
            <a:ext uri="{FF2B5EF4-FFF2-40B4-BE49-F238E27FC236}">
              <a16:creationId xmlns:a16="http://schemas.microsoft.com/office/drawing/2014/main" id="{FAAD3082-3513-2821-F4C2-8A3467D8AE18}"/>
            </a:ext>
          </a:extLst>
        </xdr:cNvPr>
        <xdr:cNvGrpSpPr/>
      </xdr:nvGrpSpPr>
      <xdr:grpSpPr>
        <a:xfrm>
          <a:off x="487680" y="358140"/>
          <a:ext cx="1905000" cy="731520"/>
          <a:chOff x="3454513" y="567835"/>
          <a:chExt cx="1529673" cy="1038225"/>
        </a:xfrm>
        <a:solidFill>
          <a:schemeClr val="bg1">
            <a:lumMod val="85000"/>
          </a:schemeClr>
        </a:solidFill>
        <a:effectLst>
          <a:outerShdw blurRad="50800" dist="38100" dir="13500000" algn="br" rotWithShape="0">
            <a:prstClr val="black">
              <a:alpha val="40000"/>
            </a:prstClr>
          </a:outerShdw>
        </a:effectLst>
      </xdr:grpSpPr>
      <xdr:sp macro="[0]!Refresh" textlink="">
        <xdr:nvSpPr>
          <xdr:cNvPr id="6" name="Rechteck: abgerundete Ecken 5">
            <a:extLst>
              <a:ext uri="{FF2B5EF4-FFF2-40B4-BE49-F238E27FC236}">
                <a16:creationId xmlns:a16="http://schemas.microsoft.com/office/drawing/2014/main" id="{C9CE42B9-113D-C17A-DC71-972A390DDA5A}"/>
              </a:ext>
            </a:extLst>
          </xdr:cNvPr>
          <xdr:cNvSpPr/>
        </xdr:nvSpPr>
        <xdr:spPr>
          <a:xfrm>
            <a:off x="3454513" y="567835"/>
            <a:ext cx="1529673" cy="1038225"/>
          </a:xfrm>
          <a:prstGeom prst="roundRect">
            <a:avLst/>
          </a:prstGeom>
          <a:grp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Refresh" textlink="">
        <xdr:nvSpPr>
          <xdr:cNvPr id="7" name="Textfeld 6">
            <a:extLst>
              <a:ext uri="{FF2B5EF4-FFF2-40B4-BE49-F238E27FC236}">
                <a16:creationId xmlns:a16="http://schemas.microsoft.com/office/drawing/2014/main" id="{6383D5A3-1EC1-352F-3FED-913E78F4E4F6}"/>
              </a:ext>
            </a:extLst>
          </xdr:cNvPr>
          <xdr:cNvSpPr txBox="1"/>
        </xdr:nvSpPr>
        <xdr:spPr>
          <a:xfrm>
            <a:off x="3466461" y="726120"/>
            <a:ext cx="1484789" cy="718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b="1">
                <a:latin typeface="Calibri" panose="020F0502020204030204" pitchFamily="34" charset="0"/>
                <a:ea typeface="Calibri" panose="020F0502020204030204" pitchFamily="34" charset="0"/>
                <a:cs typeface="Calibri" panose="020F0502020204030204" pitchFamily="34" charset="0"/>
              </a:rPr>
              <a:t>Refresh</a:t>
            </a:r>
            <a:endParaRPr lang="de-DE" sz="10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182880</xdr:colOff>
      <xdr:row>11</xdr:row>
      <xdr:rowOff>106680</xdr:rowOff>
    </xdr:from>
    <xdr:to>
      <xdr:col>9</xdr:col>
      <xdr:colOff>777240</xdr:colOff>
      <xdr:row>14</xdr:row>
      <xdr:rowOff>114300</xdr:rowOff>
    </xdr:to>
    <xdr:sp macro="[0]!AddTransaction" textlink="">
      <xdr:nvSpPr>
        <xdr:cNvPr id="2" name="Kreuz 1">
          <a:extLst>
            <a:ext uri="{FF2B5EF4-FFF2-40B4-BE49-F238E27FC236}">
              <a16:creationId xmlns:a16="http://schemas.microsoft.com/office/drawing/2014/main" id="{356D50D6-1F26-F0B3-1383-C918F715EADE}"/>
            </a:ext>
          </a:extLst>
        </xdr:cNvPr>
        <xdr:cNvSpPr/>
      </xdr:nvSpPr>
      <xdr:spPr>
        <a:xfrm>
          <a:off x="13327380" y="1234440"/>
          <a:ext cx="594360" cy="571500"/>
        </a:xfrm>
        <a:prstGeom prst="plus">
          <a:avLst>
            <a:gd name="adj" fmla="val 38333"/>
          </a:avLst>
        </a:prstGeom>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de-DE" sz="1100"/>
        </a:p>
      </xdr:txBody>
    </xdr:sp>
    <xdr:clientData/>
  </xdr:twoCellAnchor>
  <xdr:twoCellAnchor editAs="absolute">
    <xdr:from>
      <xdr:col>2</xdr:col>
      <xdr:colOff>15240</xdr:colOff>
      <xdr:row>3</xdr:row>
      <xdr:rowOff>175260</xdr:rowOff>
    </xdr:from>
    <xdr:to>
      <xdr:col>3</xdr:col>
      <xdr:colOff>322493</xdr:colOff>
      <xdr:row>9</xdr:row>
      <xdr:rowOff>79278</xdr:rowOff>
    </xdr:to>
    <xdr:grpSp>
      <xdr:nvGrpSpPr>
        <xdr:cNvPr id="3" name="Gruppieren 2">
          <a:extLst>
            <a:ext uri="{FF2B5EF4-FFF2-40B4-BE49-F238E27FC236}">
              <a16:creationId xmlns:a16="http://schemas.microsoft.com/office/drawing/2014/main" id="{48312691-8689-459B-B6E8-74EDC9C1BC5A}"/>
            </a:ext>
          </a:extLst>
        </xdr:cNvPr>
        <xdr:cNvGrpSpPr/>
      </xdr:nvGrpSpPr>
      <xdr:grpSpPr>
        <a:xfrm>
          <a:off x="419100" y="746760"/>
          <a:ext cx="1838873" cy="1001298"/>
          <a:chOff x="3533774" y="714374"/>
          <a:chExt cx="1617822" cy="1038225"/>
        </a:xfrm>
      </xdr:grpSpPr>
      <xdr:grpSp>
        <xdr:nvGrpSpPr>
          <xdr:cNvPr id="4" name="Gruppieren 3">
            <a:extLst>
              <a:ext uri="{FF2B5EF4-FFF2-40B4-BE49-F238E27FC236}">
                <a16:creationId xmlns:a16="http://schemas.microsoft.com/office/drawing/2014/main" id="{AC06A548-08FB-6110-F9D9-5562D5841815}"/>
              </a:ext>
            </a:extLst>
          </xdr:cNvPr>
          <xdr:cNvGrpSpPr/>
        </xdr:nvGrpSpPr>
        <xdr:grpSpPr>
          <a:xfrm>
            <a:off x="3533774" y="714374"/>
            <a:ext cx="1529673" cy="1038225"/>
            <a:chOff x="1533524" y="761999"/>
            <a:chExt cx="1529673" cy="1038225"/>
          </a:xfrm>
        </xdr:grpSpPr>
        <xdr:sp macro="" textlink="">
          <xdr:nvSpPr>
            <xdr:cNvPr id="6" name="Rechteck: abgerundete Ecken 5">
              <a:extLst>
                <a:ext uri="{FF2B5EF4-FFF2-40B4-BE49-F238E27FC236}">
                  <a16:creationId xmlns:a16="http://schemas.microsoft.com/office/drawing/2014/main" id="{70BBF290-BE5C-70F4-F57F-7D7D1F32B511}"/>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7">
          <xdr:nvSpPr>
            <xdr:cNvPr id="7" name="Textfeld 6">
              <a:extLst>
                <a:ext uri="{FF2B5EF4-FFF2-40B4-BE49-F238E27FC236}">
                  <a16:creationId xmlns:a16="http://schemas.microsoft.com/office/drawing/2014/main" id="{B2572D73-03A3-BF31-788D-667E6F88E030}"/>
                </a:ext>
              </a:extLst>
            </xdr:cNvPr>
            <xdr:cNvSpPr txBox="1"/>
          </xdr:nvSpPr>
          <xdr:spPr>
            <a:xfrm>
              <a:off x="1744889" y="1209674"/>
              <a:ext cx="931984"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5DB916E-68D9-43FE-A9BE-C284A827126F}" type="TxLink">
                <a:rPr lang="en-US" sz="1600" b="1" i="0" u="none" strike="noStrike">
                  <a:solidFill>
                    <a:srgbClr val="000000"/>
                  </a:solidFill>
                  <a:latin typeface="Aptos Narrow"/>
                </a:rPr>
                <a:pPr/>
                <a:t>5. Mai 26</a:t>
              </a:fld>
              <a:endParaRPr lang="de-DE" sz="1600" b="1"/>
            </a:p>
          </xdr:txBody>
        </xdr:sp>
      </xdr:grpSp>
      <xdr:sp macro="" textlink="">
        <xdr:nvSpPr>
          <xdr:cNvPr id="5" name="Textfeld 4">
            <a:extLst>
              <a:ext uri="{FF2B5EF4-FFF2-40B4-BE49-F238E27FC236}">
                <a16:creationId xmlns:a16="http://schemas.microsoft.com/office/drawing/2014/main" id="{210EE6CC-FCE1-C9D7-3E7D-E254F67DA055}"/>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Aktuelles</a:t>
            </a:r>
            <a:r>
              <a:rPr lang="de-DE" sz="1600" b="1" baseline="0">
                <a:latin typeface="Calibri" panose="020F0502020204030204" pitchFamily="34" charset="0"/>
                <a:ea typeface="Calibri" panose="020F0502020204030204" pitchFamily="34" charset="0"/>
                <a:cs typeface="Calibri" panose="020F0502020204030204" pitchFamily="34" charset="0"/>
              </a:rPr>
              <a:t> Datum</a:t>
            </a:r>
            <a:endParaRPr lang="de-DE" sz="1050"/>
          </a:p>
        </xdr:txBody>
      </xdr:sp>
    </xdr:grpSp>
    <xdr:clientData/>
  </xdr:twoCellAnchor>
  <xdr:twoCellAnchor>
    <xdr:from>
      <xdr:col>3</xdr:col>
      <xdr:colOff>414390</xdr:colOff>
      <xdr:row>3</xdr:row>
      <xdr:rowOff>179657</xdr:rowOff>
    </xdr:from>
    <xdr:to>
      <xdr:col>4</xdr:col>
      <xdr:colOff>1529560</xdr:colOff>
      <xdr:row>9</xdr:row>
      <xdr:rowOff>74882</xdr:rowOff>
    </xdr:to>
    <xdr:grpSp>
      <xdr:nvGrpSpPr>
        <xdr:cNvPr id="8" name="Gruppieren 7">
          <a:extLst>
            <a:ext uri="{FF2B5EF4-FFF2-40B4-BE49-F238E27FC236}">
              <a16:creationId xmlns:a16="http://schemas.microsoft.com/office/drawing/2014/main" id="{CC620E3C-4238-47C0-AB27-0BC0A9171286}"/>
            </a:ext>
          </a:extLst>
        </xdr:cNvPr>
        <xdr:cNvGrpSpPr/>
      </xdr:nvGrpSpPr>
      <xdr:grpSpPr>
        <a:xfrm>
          <a:off x="2349870" y="751157"/>
          <a:ext cx="2646790" cy="992505"/>
          <a:chOff x="2381247" y="704849"/>
          <a:chExt cx="2894261" cy="1038225"/>
        </a:xfrm>
      </xdr:grpSpPr>
      <xdr:grpSp>
        <xdr:nvGrpSpPr>
          <xdr:cNvPr id="9" name="Gruppieren 8">
            <a:extLst>
              <a:ext uri="{FF2B5EF4-FFF2-40B4-BE49-F238E27FC236}">
                <a16:creationId xmlns:a16="http://schemas.microsoft.com/office/drawing/2014/main" id="{B99CC5A9-3B2A-A32F-AD2D-A0C658191E34}"/>
              </a:ext>
            </a:extLst>
          </xdr:cNvPr>
          <xdr:cNvGrpSpPr/>
        </xdr:nvGrpSpPr>
        <xdr:grpSpPr>
          <a:xfrm>
            <a:off x="2381247" y="704849"/>
            <a:ext cx="2894261" cy="1038225"/>
            <a:chOff x="3533774" y="714374"/>
            <a:chExt cx="1627782" cy="1038225"/>
          </a:xfrm>
        </xdr:grpSpPr>
        <xdr:grpSp>
          <xdr:nvGrpSpPr>
            <xdr:cNvPr id="11" name="Gruppieren 10">
              <a:extLst>
                <a:ext uri="{FF2B5EF4-FFF2-40B4-BE49-F238E27FC236}">
                  <a16:creationId xmlns:a16="http://schemas.microsoft.com/office/drawing/2014/main" id="{E4E69DCB-5915-C88B-A1FB-EA4E564BB994}"/>
                </a:ext>
              </a:extLst>
            </xdr:cNvPr>
            <xdr:cNvGrpSpPr/>
          </xdr:nvGrpSpPr>
          <xdr:grpSpPr>
            <a:xfrm>
              <a:off x="3533774" y="714374"/>
              <a:ext cx="1627782" cy="1038225"/>
              <a:chOff x="1533524" y="761999"/>
              <a:chExt cx="1627782" cy="1038225"/>
            </a:xfrm>
          </xdr:grpSpPr>
          <xdr:sp macro="" textlink="">
            <xdr:nvSpPr>
              <xdr:cNvPr id="13" name="Rechteck: abgerundete Ecken 12">
                <a:extLst>
                  <a:ext uri="{FF2B5EF4-FFF2-40B4-BE49-F238E27FC236}">
                    <a16:creationId xmlns:a16="http://schemas.microsoft.com/office/drawing/2014/main" id="{C9925AC9-B20D-FE72-40DD-3863E4E01166}"/>
                  </a:ext>
                </a:extLst>
              </xdr:cNvPr>
              <xdr:cNvSpPr/>
            </xdr:nvSpPr>
            <xdr:spPr>
              <a:xfrm>
                <a:off x="1533524" y="761999"/>
                <a:ext cx="1627782"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8">
            <xdr:nvSpPr>
              <xdr:cNvPr id="14" name="Textfeld 13">
                <a:extLst>
                  <a:ext uri="{FF2B5EF4-FFF2-40B4-BE49-F238E27FC236}">
                    <a16:creationId xmlns:a16="http://schemas.microsoft.com/office/drawing/2014/main" id="{E8FBD9FF-BDB1-1D50-4750-FE45C82D1317}"/>
                  </a:ext>
                </a:extLst>
              </xdr:cNvPr>
              <xdr:cNvSpPr txBox="1"/>
            </xdr:nvSpPr>
            <xdr:spPr>
              <a:xfrm>
                <a:off x="1533524" y="1200149"/>
                <a:ext cx="68913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DFFF63D-1E72-4430-BE66-B70A889DAF88}" type="TxLink">
                  <a:rPr lang="en-US" sz="1600" b="1" i="0" u="none" strike="noStrike">
                    <a:solidFill>
                      <a:srgbClr val="000000"/>
                    </a:solidFill>
                    <a:latin typeface="Aptos Narrow"/>
                  </a:rPr>
                  <a:pPr/>
                  <a:t>0. Jan 00</a:t>
                </a:fld>
                <a:endParaRPr lang="de-DE" sz="2400" b="1"/>
              </a:p>
            </xdr:txBody>
          </xdr:sp>
        </xdr:grpSp>
        <xdr:sp macro="" textlink="">
          <xdr:nvSpPr>
            <xdr:cNvPr id="12" name="Textfeld 11">
              <a:extLst>
                <a:ext uri="{FF2B5EF4-FFF2-40B4-BE49-F238E27FC236}">
                  <a16:creationId xmlns:a16="http://schemas.microsoft.com/office/drawing/2014/main" id="{BAB73CF4-5C20-207C-B15F-53D5FDDECF06}"/>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Letzter Eintrag</a:t>
              </a:r>
              <a:endParaRPr lang="de-DE" sz="1050"/>
            </a:p>
          </xdr:txBody>
        </xdr:sp>
      </xdr:grpSp>
      <xdr:sp macro="" textlink="Calculations!D9">
        <xdr:nvSpPr>
          <xdr:cNvPr id="10" name="Textfeld 9">
            <a:extLst>
              <a:ext uri="{FF2B5EF4-FFF2-40B4-BE49-F238E27FC236}">
                <a16:creationId xmlns:a16="http://schemas.microsoft.com/office/drawing/2014/main" id="{980175A1-34C3-12AB-7947-D1900E994827}"/>
              </a:ext>
            </a:extLst>
          </xdr:cNvPr>
          <xdr:cNvSpPr txBox="1"/>
        </xdr:nvSpPr>
        <xdr:spPr>
          <a:xfrm>
            <a:off x="3450307" y="1142999"/>
            <a:ext cx="175403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6E048AF-8CB8-4F88-95E1-6859A25E5DE2}" type="TxLink">
              <a:rPr lang="en-US" sz="1600" b="1" i="0" u="none" strike="noStrike">
                <a:solidFill>
                  <a:srgbClr val="000000"/>
                </a:solidFill>
                <a:latin typeface="Aptos Narrow"/>
              </a:rPr>
              <a:pPr algn="r"/>
              <a:t> </a:t>
            </a:fld>
            <a:endParaRPr lang="de-DE" sz="4400" b="1"/>
          </a:p>
        </xdr:txBody>
      </xdr:sp>
    </xdr:grpSp>
    <xdr:clientData/>
  </xdr:twoCellAnchor>
  <xdr:twoCellAnchor>
    <xdr:from>
      <xdr:col>4</xdr:col>
      <xdr:colOff>1621457</xdr:colOff>
      <xdr:row>3</xdr:row>
      <xdr:rowOff>175847</xdr:rowOff>
    </xdr:from>
    <xdr:to>
      <xdr:col>6</xdr:col>
      <xdr:colOff>592939</xdr:colOff>
      <xdr:row>9</xdr:row>
      <xdr:rowOff>78692</xdr:rowOff>
    </xdr:to>
    <xdr:grpSp>
      <xdr:nvGrpSpPr>
        <xdr:cNvPr id="15" name="Gruppieren 14">
          <a:extLst>
            <a:ext uri="{FF2B5EF4-FFF2-40B4-BE49-F238E27FC236}">
              <a16:creationId xmlns:a16="http://schemas.microsoft.com/office/drawing/2014/main" id="{CC670F1D-AF5E-4B2C-9A17-0EBE0B0D5FA9}"/>
            </a:ext>
          </a:extLst>
        </xdr:cNvPr>
        <xdr:cNvGrpSpPr/>
      </xdr:nvGrpSpPr>
      <xdr:grpSpPr>
        <a:xfrm>
          <a:off x="5088557" y="747347"/>
          <a:ext cx="2766242" cy="1000125"/>
          <a:chOff x="2381248" y="704849"/>
          <a:chExt cx="2876552" cy="1038225"/>
        </a:xfrm>
      </xdr:grpSpPr>
      <xdr:grpSp>
        <xdr:nvGrpSpPr>
          <xdr:cNvPr id="16" name="Gruppieren 15">
            <a:extLst>
              <a:ext uri="{FF2B5EF4-FFF2-40B4-BE49-F238E27FC236}">
                <a16:creationId xmlns:a16="http://schemas.microsoft.com/office/drawing/2014/main" id="{A426254E-9CCE-165B-834E-0C74E1129D8F}"/>
              </a:ext>
            </a:extLst>
          </xdr:cNvPr>
          <xdr:cNvGrpSpPr/>
        </xdr:nvGrpSpPr>
        <xdr:grpSpPr>
          <a:xfrm>
            <a:off x="2381248" y="704849"/>
            <a:ext cx="2876552" cy="1038225"/>
            <a:chOff x="3533774" y="714374"/>
            <a:chExt cx="1617822" cy="1038225"/>
          </a:xfrm>
        </xdr:grpSpPr>
        <xdr:grpSp>
          <xdr:nvGrpSpPr>
            <xdr:cNvPr id="18" name="Gruppieren 17">
              <a:extLst>
                <a:ext uri="{FF2B5EF4-FFF2-40B4-BE49-F238E27FC236}">
                  <a16:creationId xmlns:a16="http://schemas.microsoft.com/office/drawing/2014/main" id="{CBD25B40-B97D-3B28-9824-E3029ACA9BD1}"/>
                </a:ext>
              </a:extLst>
            </xdr:cNvPr>
            <xdr:cNvGrpSpPr/>
          </xdr:nvGrpSpPr>
          <xdr:grpSpPr>
            <a:xfrm>
              <a:off x="3533774" y="714374"/>
              <a:ext cx="1529673" cy="1038225"/>
              <a:chOff x="1533524" y="761999"/>
              <a:chExt cx="1529673" cy="1038225"/>
            </a:xfrm>
          </xdr:grpSpPr>
          <xdr:sp macro="" textlink="">
            <xdr:nvSpPr>
              <xdr:cNvPr id="20" name="Rechteck: abgerundete Ecken 19">
                <a:extLst>
                  <a:ext uri="{FF2B5EF4-FFF2-40B4-BE49-F238E27FC236}">
                    <a16:creationId xmlns:a16="http://schemas.microsoft.com/office/drawing/2014/main" id="{FC5EE367-A7B4-B3AB-FB80-E02F8078E4EB}"/>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10">
            <xdr:nvSpPr>
              <xdr:cNvPr id="21" name="Textfeld 20">
                <a:extLst>
                  <a:ext uri="{FF2B5EF4-FFF2-40B4-BE49-F238E27FC236}">
                    <a16:creationId xmlns:a16="http://schemas.microsoft.com/office/drawing/2014/main" id="{0C17BEBE-9CDD-44F9-8AE3-17BA8EFA3A41}"/>
                  </a:ext>
                </a:extLst>
              </xdr:cNvPr>
              <xdr:cNvSpPr txBox="1"/>
            </xdr:nvSpPr>
            <xdr:spPr>
              <a:xfrm>
                <a:off x="1572617" y="1200149"/>
                <a:ext cx="501500"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A6D1DFC-5317-494F-BF2F-7139EF04BC0D}" type="TxLink">
                  <a:rPr lang="en-US" sz="1600" b="1" i="0" u="none" strike="noStrike">
                    <a:solidFill>
                      <a:srgbClr val="000000"/>
                    </a:solidFill>
                    <a:latin typeface="Aptos Narrow"/>
                  </a:rPr>
                  <a:pPr algn="ctr"/>
                  <a:t>0</a:t>
                </a:fld>
                <a:endParaRPr lang="de-DE" sz="4400" b="1"/>
              </a:p>
            </xdr:txBody>
          </xdr:sp>
        </xdr:grpSp>
        <xdr:sp macro="" textlink="">
          <xdr:nvSpPr>
            <xdr:cNvPr id="19" name="Textfeld 18">
              <a:extLst>
                <a:ext uri="{FF2B5EF4-FFF2-40B4-BE49-F238E27FC236}">
                  <a16:creationId xmlns:a16="http://schemas.microsoft.com/office/drawing/2014/main" id="{80EE51FA-E878-69CE-4D37-10549A78105C}"/>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Anzahl an</a:t>
              </a:r>
              <a:r>
                <a:rPr lang="de-DE" sz="1600" b="1" baseline="0">
                  <a:latin typeface="Calibri" panose="020F0502020204030204" pitchFamily="34" charset="0"/>
                  <a:ea typeface="Calibri" panose="020F0502020204030204" pitchFamily="34" charset="0"/>
                  <a:cs typeface="Calibri" panose="020F0502020204030204" pitchFamily="34" charset="0"/>
                </a:rPr>
                <a:t> Einträgen</a:t>
              </a:r>
              <a:endParaRPr lang="de-DE" sz="1050"/>
            </a:p>
          </xdr:txBody>
        </xdr:sp>
      </xdr:grpSp>
      <xdr:sp macro="" textlink="Calculations!D11">
        <xdr:nvSpPr>
          <xdr:cNvPr id="17" name="Textfeld 16">
            <a:extLst>
              <a:ext uri="{FF2B5EF4-FFF2-40B4-BE49-F238E27FC236}">
                <a16:creationId xmlns:a16="http://schemas.microsoft.com/office/drawing/2014/main" id="{15943601-F525-6132-C88E-BBE1FA2072D2}"/>
              </a:ext>
            </a:extLst>
          </xdr:cNvPr>
          <xdr:cNvSpPr txBox="1"/>
        </xdr:nvSpPr>
        <xdr:spPr>
          <a:xfrm>
            <a:off x="3253181" y="1142999"/>
            <a:ext cx="1731227"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7C92D2E-15E2-4D65-A431-CEA51D0C372F}" type="TxLink">
              <a:rPr lang="en-US" sz="1600" b="1" i="0" u="none" strike="noStrike">
                <a:solidFill>
                  <a:srgbClr val="000000"/>
                </a:solidFill>
                <a:latin typeface="Aptos Narrow"/>
              </a:rPr>
              <a:pPr algn="r"/>
              <a:t>(0 dieses Jahr)</a:t>
            </a:fld>
            <a:endParaRPr lang="de-DE" sz="8800" b="1"/>
          </a:p>
        </xdr:txBody>
      </xdr:sp>
    </xdr:grpSp>
    <xdr:clientData/>
  </xdr:twoCellAnchor>
  <xdr:twoCellAnchor editAs="absolute">
    <xdr:from>
      <xdr:col>6</xdr:col>
      <xdr:colOff>684835</xdr:colOff>
      <xdr:row>3</xdr:row>
      <xdr:rowOff>179657</xdr:rowOff>
    </xdr:from>
    <xdr:to>
      <xdr:col>7</xdr:col>
      <xdr:colOff>861060</xdr:colOff>
      <xdr:row>9</xdr:row>
      <xdr:rowOff>74882</xdr:rowOff>
    </xdr:to>
    <xdr:grpSp>
      <xdr:nvGrpSpPr>
        <xdr:cNvPr id="23" name="Gruppieren 22">
          <a:extLst>
            <a:ext uri="{FF2B5EF4-FFF2-40B4-BE49-F238E27FC236}">
              <a16:creationId xmlns:a16="http://schemas.microsoft.com/office/drawing/2014/main" id="{92458FCA-F1BF-B4D7-7C0A-83B873D3B489}"/>
            </a:ext>
          </a:extLst>
        </xdr:cNvPr>
        <xdr:cNvGrpSpPr/>
      </xdr:nvGrpSpPr>
      <xdr:grpSpPr>
        <a:xfrm>
          <a:off x="7946695" y="751157"/>
          <a:ext cx="1707845" cy="992505"/>
          <a:chOff x="3533774" y="714374"/>
          <a:chExt cx="1617822" cy="1038225"/>
        </a:xfrm>
      </xdr:grpSpPr>
      <xdr:grpSp>
        <xdr:nvGrpSpPr>
          <xdr:cNvPr id="25" name="Gruppieren 24">
            <a:extLst>
              <a:ext uri="{FF2B5EF4-FFF2-40B4-BE49-F238E27FC236}">
                <a16:creationId xmlns:a16="http://schemas.microsoft.com/office/drawing/2014/main" id="{577D1961-2B48-9E4D-6E6D-8BA5C6F44A7E}"/>
              </a:ext>
            </a:extLst>
          </xdr:cNvPr>
          <xdr:cNvGrpSpPr/>
        </xdr:nvGrpSpPr>
        <xdr:grpSpPr>
          <a:xfrm>
            <a:off x="3533774" y="714374"/>
            <a:ext cx="1529673" cy="1038225"/>
            <a:chOff x="1533524" y="761999"/>
            <a:chExt cx="1529673" cy="1038225"/>
          </a:xfrm>
        </xdr:grpSpPr>
        <xdr:sp macro="" textlink="">
          <xdr:nvSpPr>
            <xdr:cNvPr id="27" name="Rechteck: abgerundete Ecken 26">
              <a:extLst>
                <a:ext uri="{FF2B5EF4-FFF2-40B4-BE49-F238E27FC236}">
                  <a16:creationId xmlns:a16="http://schemas.microsoft.com/office/drawing/2014/main" id="{3EA172EE-750E-523F-3EF3-1BB19D24BC82}"/>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12">
          <xdr:nvSpPr>
            <xdr:cNvPr id="28" name="Textfeld 27">
              <a:extLst>
                <a:ext uri="{FF2B5EF4-FFF2-40B4-BE49-F238E27FC236}">
                  <a16:creationId xmlns:a16="http://schemas.microsoft.com/office/drawing/2014/main" id="{1F748A2A-8E7A-BE52-A368-F2AC193F86D0}"/>
                </a:ext>
              </a:extLst>
            </xdr:cNvPr>
            <xdr:cNvSpPr txBox="1"/>
          </xdr:nvSpPr>
          <xdr:spPr>
            <a:xfrm>
              <a:off x="1667598" y="1184207"/>
              <a:ext cx="105064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2A2459E-8151-48B3-83F3-3AF0DCDF148F}" type="TxLink">
                <a:rPr lang="en-US" sz="1600" b="1" i="0" u="none" strike="noStrike">
                  <a:solidFill>
                    <a:srgbClr val="000000"/>
                  </a:solidFill>
                  <a:latin typeface="Aptos Narrow"/>
                </a:rPr>
                <a:pPr algn="ctr"/>
                <a:t>-</a:t>
              </a:fld>
              <a:endParaRPr lang="de-DE" sz="6000" b="1"/>
            </a:p>
          </xdr:txBody>
        </xdr:sp>
      </xdr:grpSp>
      <xdr:sp macro="" textlink="">
        <xdr:nvSpPr>
          <xdr:cNvPr id="26" name="Textfeld 25">
            <a:extLst>
              <a:ext uri="{FF2B5EF4-FFF2-40B4-BE49-F238E27FC236}">
                <a16:creationId xmlns:a16="http://schemas.microsoft.com/office/drawing/2014/main" id="{1FD8451A-ED4C-E8A5-8BDB-07DE79A5960A}"/>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Tracking Bilanz</a:t>
            </a:r>
            <a:endParaRPr lang="de-DE" sz="105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30</xdr:col>
      <xdr:colOff>198439</xdr:colOff>
      <xdr:row>14</xdr:row>
      <xdr:rowOff>39688</xdr:rowOff>
    </xdr:from>
    <xdr:to>
      <xdr:col>33</xdr:col>
      <xdr:colOff>134937</xdr:colOff>
      <xdr:row>23</xdr:row>
      <xdr:rowOff>150812</xdr:rowOff>
    </xdr:to>
    <xdr:graphicFrame macro="">
      <xdr:nvGraphicFramePr>
        <xdr:cNvPr id="4" name="Chart 4">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45</xdr:col>
      <xdr:colOff>87922</xdr:colOff>
      <xdr:row>12</xdr:row>
      <xdr:rowOff>36635</xdr:rowOff>
    </xdr:from>
    <xdr:to>
      <xdr:col>57</xdr:col>
      <xdr:colOff>373672</xdr:colOff>
      <xdr:row>24</xdr:row>
      <xdr:rowOff>146539</xdr:rowOff>
    </xdr:to>
    <xdr:graphicFrame macro="">
      <xdr:nvGraphicFramePr>
        <xdr:cNvPr id="5" name="Chart 5">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45</xdr:col>
      <xdr:colOff>58615</xdr:colOff>
      <xdr:row>26</xdr:row>
      <xdr:rowOff>36636</xdr:rowOff>
    </xdr:from>
    <xdr:to>
      <xdr:col>57</xdr:col>
      <xdr:colOff>395653</xdr:colOff>
      <xdr:row>38</xdr:row>
      <xdr:rowOff>146539</xdr:rowOff>
    </xdr:to>
    <xdr:graphicFrame macro="">
      <xdr:nvGraphicFramePr>
        <xdr:cNvPr id="6" name="Chart 6">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30</xdr:col>
      <xdr:colOff>198439</xdr:colOff>
      <xdr:row>28</xdr:row>
      <xdr:rowOff>39688</xdr:rowOff>
    </xdr:from>
    <xdr:ext cx="2198686" cy="1825624"/>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37</xdr:col>
      <xdr:colOff>198439</xdr:colOff>
      <xdr:row>14</xdr:row>
      <xdr:rowOff>39688</xdr:rowOff>
    </xdr:from>
    <xdr:ext cx="2198686" cy="1825624"/>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37</xdr:col>
      <xdr:colOff>198439</xdr:colOff>
      <xdr:row>28</xdr:row>
      <xdr:rowOff>39688</xdr:rowOff>
    </xdr:from>
    <xdr:ext cx="2198686" cy="1825624"/>
    <xdr:graphicFrame macro="">
      <xdr:nvGraphicFramePr>
        <xdr:cNvPr id="8" name="Chart 3">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mc:AlternateContent xmlns:mc="http://schemas.openxmlformats.org/markup-compatibility/2006">
    <mc:Choice xmlns:a14="http://schemas.microsoft.com/office/drawing/2010/main" Requires="a14">
      <xdr:twoCellAnchor editAs="oneCell">
        <xdr:from>
          <xdr:col>56</xdr:col>
          <xdr:colOff>198120</xdr:colOff>
          <xdr:row>12</xdr:row>
          <xdr:rowOff>38100</xdr:rowOff>
        </xdr:from>
        <xdr:to>
          <xdr:col>57</xdr:col>
          <xdr:colOff>556260</xdr:colOff>
          <xdr:row>13</xdr:row>
          <xdr:rowOff>60960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Einkommen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198120</xdr:colOff>
          <xdr:row>13</xdr:row>
          <xdr:rowOff>60960</xdr:rowOff>
        </xdr:from>
        <xdr:to>
          <xdr:col>57</xdr:col>
          <xdr:colOff>556260</xdr:colOff>
          <xdr:row>14</xdr:row>
          <xdr:rowOff>76200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Fixkosten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198120</xdr:colOff>
          <xdr:row>14</xdr:row>
          <xdr:rowOff>83820</xdr:rowOff>
        </xdr:from>
        <xdr:to>
          <xdr:col>57</xdr:col>
          <xdr:colOff>556260</xdr:colOff>
          <xdr:row>15</xdr:row>
          <xdr:rowOff>106680</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700-00000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Variablekosten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198120</xdr:colOff>
          <xdr:row>15</xdr:row>
          <xdr:rowOff>114300</xdr:rowOff>
        </xdr:from>
        <xdr:to>
          <xdr:col>57</xdr:col>
          <xdr:colOff>556260</xdr:colOff>
          <xdr:row>16</xdr:row>
          <xdr:rowOff>137160</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Investment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411480</xdr:colOff>
          <xdr:row>12</xdr:row>
          <xdr:rowOff>38100</xdr:rowOff>
        </xdr:from>
        <xdr:to>
          <xdr:col>56</xdr:col>
          <xdr:colOff>373380</xdr:colOff>
          <xdr:row>13</xdr:row>
          <xdr:rowOff>60960</xdr:rowOff>
        </xdr:to>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Budget</a:t>
              </a:r>
            </a:p>
          </xdr:txBody>
        </xdr:sp>
        <xdr:clientData/>
      </xdr:twoCellAnchor>
    </mc:Choice>
    <mc:Fallback/>
  </mc:AlternateContent>
  <xdr:twoCellAnchor>
    <xdr:from>
      <xdr:col>59</xdr:col>
      <xdr:colOff>131884</xdr:colOff>
      <xdr:row>12</xdr:row>
      <xdr:rowOff>102577</xdr:rowOff>
    </xdr:from>
    <xdr:to>
      <xdr:col>65</xdr:col>
      <xdr:colOff>878</xdr:colOff>
      <xdr:row>24</xdr:row>
      <xdr:rowOff>95250</xdr:rowOff>
    </xdr:to>
    <xdr:graphicFrame macro="">
      <xdr:nvGraphicFramePr>
        <xdr:cNvPr id="9" name="Chart 7">
          <a:extLst>
            <a:ext uri="{FF2B5EF4-FFF2-40B4-BE49-F238E27FC236}">
              <a16:creationId xmlns:a16="http://schemas.microsoft.com/office/drawing/2014/main" id="{BFFDF212-7C93-0A4F-F957-9318E0E5AB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xdr:col>
      <xdr:colOff>270933</xdr:colOff>
      <xdr:row>3</xdr:row>
      <xdr:rowOff>169333</xdr:rowOff>
    </xdr:from>
    <xdr:to>
      <xdr:col>26</xdr:col>
      <xdr:colOff>270933</xdr:colOff>
      <xdr:row>9</xdr:row>
      <xdr:rowOff>24829</xdr:rowOff>
    </xdr:to>
    <xdr:grpSp>
      <xdr:nvGrpSpPr>
        <xdr:cNvPr id="7" name="Gruppieren 6">
          <a:extLst>
            <a:ext uri="{FF2B5EF4-FFF2-40B4-BE49-F238E27FC236}">
              <a16:creationId xmlns:a16="http://schemas.microsoft.com/office/drawing/2014/main" id="{FD9F8A08-C160-4B39-9DBD-1D32E74D592F}"/>
            </a:ext>
          </a:extLst>
        </xdr:cNvPr>
        <xdr:cNvGrpSpPr/>
      </xdr:nvGrpSpPr>
      <xdr:grpSpPr>
        <a:xfrm>
          <a:off x="575733" y="753533"/>
          <a:ext cx="2980267" cy="1006963"/>
          <a:chOff x="549519" y="710712"/>
          <a:chExt cx="2715660" cy="1038225"/>
        </a:xfrm>
      </xdr:grpSpPr>
      <xdr:grpSp>
        <xdr:nvGrpSpPr>
          <xdr:cNvPr id="10" name="Gruppieren 9">
            <a:extLst>
              <a:ext uri="{FF2B5EF4-FFF2-40B4-BE49-F238E27FC236}">
                <a16:creationId xmlns:a16="http://schemas.microsoft.com/office/drawing/2014/main" id="{A584A1C7-49EA-6B83-0284-F4B130D83E4E}"/>
              </a:ext>
            </a:extLst>
          </xdr:cNvPr>
          <xdr:cNvGrpSpPr/>
        </xdr:nvGrpSpPr>
        <xdr:grpSpPr>
          <a:xfrm>
            <a:off x="549519" y="710712"/>
            <a:ext cx="2715660" cy="1038225"/>
            <a:chOff x="3533774" y="714374"/>
            <a:chExt cx="1529673" cy="1038225"/>
          </a:xfrm>
        </xdr:grpSpPr>
        <xdr:sp macro="" textlink="">
          <xdr:nvSpPr>
            <xdr:cNvPr id="13" name="Rechteck: abgerundete Ecken 12">
              <a:extLst>
                <a:ext uri="{FF2B5EF4-FFF2-40B4-BE49-F238E27FC236}">
                  <a16:creationId xmlns:a16="http://schemas.microsoft.com/office/drawing/2014/main" id="{57FE16C9-438E-BD62-B410-7233981391FE}"/>
                </a:ext>
              </a:extLst>
            </xdr:cNvPr>
            <xdr:cNvSpPr/>
          </xdr:nvSpPr>
          <xdr:spPr>
            <a:xfrm>
              <a:off x="3533774" y="714374"/>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
          <xdr:nvSpPr>
            <xdr:cNvPr id="14" name="Textfeld 13">
              <a:extLst>
                <a:ext uri="{FF2B5EF4-FFF2-40B4-BE49-F238E27FC236}">
                  <a16:creationId xmlns:a16="http://schemas.microsoft.com/office/drawing/2014/main" id="{50ADB675-B486-A0A8-296A-74F26F147421}"/>
                </a:ext>
              </a:extLst>
            </xdr:cNvPr>
            <xdr:cNvSpPr txBox="1"/>
          </xdr:nvSpPr>
          <xdr:spPr>
            <a:xfrm>
              <a:off x="3533774" y="800099"/>
              <a:ext cx="150226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Ausgewähltes</a:t>
              </a:r>
              <a:r>
                <a:rPr lang="de-DE" sz="1600" b="1" baseline="0">
                  <a:latin typeface="Calibri" panose="020F0502020204030204" pitchFamily="34" charset="0"/>
                  <a:ea typeface="Calibri" panose="020F0502020204030204" pitchFamily="34" charset="0"/>
                  <a:cs typeface="Calibri" panose="020F0502020204030204" pitchFamily="34" charset="0"/>
                </a:rPr>
                <a:t> Jahr &amp; Periode</a:t>
              </a:r>
              <a:endParaRPr lang="de-DE" sz="1050"/>
            </a:p>
          </xdr:txBody>
        </xdr:sp>
      </xdr:grpSp>
      <xdr:sp macro="" textlink="selected_year">
        <xdr:nvSpPr>
          <xdr:cNvPr id="11" name="Rechteck: abgerundete Ecken 10">
            <a:extLst>
              <a:ext uri="{FF2B5EF4-FFF2-40B4-BE49-F238E27FC236}">
                <a16:creationId xmlns:a16="http://schemas.microsoft.com/office/drawing/2014/main" id="{0DCBB2C9-94CD-88EB-39E0-9B3AA196EC69}"/>
              </a:ext>
            </a:extLst>
          </xdr:cNvPr>
          <xdr:cNvSpPr/>
        </xdr:nvSpPr>
        <xdr:spPr>
          <a:xfrm>
            <a:off x="680404" y="1178903"/>
            <a:ext cx="813287" cy="395653"/>
          </a:xfrm>
          <a:prstGeom prst="roundRect">
            <a:avLst>
              <a:gd name="adj" fmla="val 50000"/>
            </a:avLst>
          </a:prstGeom>
          <a:solidFill>
            <a:schemeClr val="bg1"/>
          </a:solidFill>
          <a:ln>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1B9DA43-29CA-4FBB-8E48-4126455F2013}" type="TxLink">
              <a:rPr lang="en-US" sz="1600" b="1" i="0" u="none" strike="noStrike">
                <a:solidFill>
                  <a:srgbClr val="000000"/>
                </a:solidFill>
                <a:latin typeface="Calibri"/>
                <a:ea typeface="Calibri"/>
                <a:cs typeface="Calibri"/>
              </a:rPr>
              <a:pPr algn="ctr"/>
              <a:t>2026</a:t>
            </a:fld>
            <a:endParaRPr lang="de-DE" sz="2400" b="1">
              <a:latin typeface="+mn-lt"/>
            </a:endParaRPr>
          </a:p>
        </xdr:txBody>
      </xdr:sp>
      <xdr:sp macro="" textlink="selected_period_display">
        <xdr:nvSpPr>
          <xdr:cNvPr id="12" name="Rechteck: abgerundete Ecken 11">
            <a:extLst>
              <a:ext uri="{FF2B5EF4-FFF2-40B4-BE49-F238E27FC236}">
                <a16:creationId xmlns:a16="http://schemas.microsoft.com/office/drawing/2014/main" id="{3EFB0F8B-DF99-5365-2B2B-2B98EF5394C3}"/>
              </a:ext>
            </a:extLst>
          </xdr:cNvPr>
          <xdr:cNvSpPr/>
        </xdr:nvSpPr>
        <xdr:spPr>
          <a:xfrm>
            <a:off x="1628909" y="1178903"/>
            <a:ext cx="1574396" cy="395653"/>
          </a:xfrm>
          <a:prstGeom prst="roundRect">
            <a:avLst>
              <a:gd name="adj" fmla="val 50000"/>
            </a:avLst>
          </a:prstGeom>
          <a:solidFill>
            <a:schemeClr val="bg1"/>
          </a:solidFill>
          <a:ln>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37C86BB-3EEE-48DA-BB89-F9C16767D7C6}" type="TxLink">
              <a:rPr lang="en-US" sz="1600" b="1" i="0" u="none" strike="noStrike">
                <a:solidFill>
                  <a:srgbClr val="000000"/>
                </a:solidFill>
                <a:latin typeface="Calibri"/>
                <a:ea typeface="Calibri"/>
                <a:cs typeface="Calibri"/>
              </a:rPr>
              <a:pPr algn="ctr"/>
              <a:t>Mai</a:t>
            </a:fld>
            <a:endParaRPr lang="de-DE" sz="3600" b="1">
              <a:latin typeface="+mn-lt"/>
            </a:endParaRPr>
          </a:p>
        </xdr:txBody>
      </xdr:sp>
    </xdr:grpSp>
    <xdr:clientData/>
  </xdr:twoCellAnchor>
  <xdr:twoCellAnchor editAs="absolute">
    <xdr:from>
      <xdr:col>26</xdr:col>
      <xdr:colOff>547886</xdr:colOff>
      <xdr:row>3</xdr:row>
      <xdr:rowOff>143933</xdr:rowOff>
    </xdr:from>
    <xdr:to>
      <xdr:col>27</xdr:col>
      <xdr:colOff>874621</xdr:colOff>
      <xdr:row>8</xdr:row>
      <xdr:rowOff>185696</xdr:rowOff>
    </xdr:to>
    <xdr:grpSp>
      <xdr:nvGrpSpPr>
        <xdr:cNvPr id="15" name="Gruppieren 14">
          <a:extLst>
            <a:ext uri="{FF2B5EF4-FFF2-40B4-BE49-F238E27FC236}">
              <a16:creationId xmlns:a16="http://schemas.microsoft.com/office/drawing/2014/main" id="{8B6F04BC-891E-4843-ADB3-0F245DB7C91C}"/>
            </a:ext>
          </a:extLst>
        </xdr:cNvPr>
        <xdr:cNvGrpSpPr/>
      </xdr:nvGrpSpPr>
      <xdr:grpSpPr>
        <a:xfrm>
          <a:off x="3832953" y="728133"/>
          <a:ext cx="1503601" cy="1006963"/>
          <a:chOff x="3632689" y="694593"/>
          <a:chExt cx="1518139" cy="1038225"/>
        </a:xfrm>
      </xdr:grpSpPr>
      <xdr:grpSp>
        <xdr:nvGrpSpPr>
          <xdr:cNvPr id="16" name="Gruppieren 15">
            <a:extLst>
              <a:ext uri="{FF2B5EF4-FFF2-40B4-BE49-F238E27FC236}">
                <a16:creationId xmlns:a16="http://schemas.microsoft.com/office/drawing/2014/main" id="{66BD6FFD-233F-CB73-D070-E7E462D07695}"/>
              </a:ext>
            </a:extLst>
          </xdr:cNvPr>
          <xdr:cNvGrpSpPr/>
        </xdr:nvGrpSpPr>
        <xdr:grpSpPr>
          <a:xfrm>
            <a:off x="3632689" y="694593"/>
            <a:ext cx="1518139" cy="1038225"/>
            <a:chOff x="3533774" y="714374"/>
            <a:chExt cx="1537091" cy="1038225"/>
          </a:xfrm>
        </xdr:grpSpPr>
        <xdr:sp macro="" textlink="">
          <xdr:nvSpPr>
            <xdr:cNvPr id="19" name="Rechteck: abgerundete Ecken 18">
              <a:extLst>
                <a:ext uri="{FF2B5EF4-FFF2-40B4-BE49-F238E27FC236}">
                  <a16:creationId xmlns:a16="http://schemas.microsoft.com/office/drawing/2014/main" id="{1AEE8025-72EA-4B54-942F-5F7300C285E5}"/>
                </a:ext>
              </a:extLst>
            </xdr:cNvPr>
            <xdr:cNvSpPr/>
          </xdr:nvSpPr>
          <xdr:spPr>
            <a:xfrm>
              <a:off x="3541192" y="714374"/>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de-DE" sz="1100"/>
            </a:p>
          </xdr:txBody>
        </xdr:sp>
        <xdr:sp macro="" textlink="">
          <xdr:nvSpPr>
            <xdr:cNvPr id="20" name="Textfeld 19">
              <a:extLst>
                <a:ext uri="{FF2B5EF4-FFF2-40B4-BE49-F238E27FC236}">
                  <a16:creationId xmlns:a16="http://schemas.microsoft.com/office/drawing/2014/main" id="{BA6216B4-64D3-6B7C-3422-32DA10CAF17A}"/>
                </a:ext>
              </a:extLst>
            </xdr:cNvPr>
            <xdr:cNvSpPr txBox="1"/>
          </xdr:nvSpPr>
          <xdr:spPr>
            <a:xfrm>
              <a:off x="3533774" y="800099"/>
              <a:ext cx="150226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Periode Compl.</a:t>
              </a:r>
              <a:endParaRPr lang="de-DE" sz="1050"/>
            </a:p>
          </xdr:txBody>
        </xdr:sp>
      </xdr:grpSp>
      <xdr:graphicFrame macro="">
        <xdr:nvGraphicFramePr>
          <xdr:cNvPr id="17" name="Diagramm 16">
            <a:extLst>
              <a:ext uri="{FF2B5EF4-FFF2-40B4-BE49-F238E27FC236}">
                <a16:creationId xmlns:a16="http://schemas.microsoft.com/office/drawing/2014/main" id="{1DFACE0C-A362-6FDD-76D3-B9D09BAA5737}"/>
              </a:ext>
            </a:extLst>
          </xdr:cNvPr>
          <xdr:cNvGraphicFramePr>
            <a:graphicFrameLocks/>
          </xdr:cNvGraphicFramePr>
        </xdr:nvGraphicFramePr>
        <xdr:xfrm>
          <a:off x="3644412" y="1018443"/>
          <a:ext cx="1502019" cy="666750"/>
        </xdr:xfrm>
        <a:graphic>
          <a:graphicData uri="http://schemas.openxmlformats.org/drawingml/2006/chart">
            <c:chart xmlns:c="http://schemas.openxmlformats.org/drawingml/2006/chart" xmlns:r="http://schemas.openxmlformats.org/officeDocument/2006/relationships" r:id="rId8"/>
          </a:graphicData>
        </a:graphic>
      </xdr:graphicFrame>
      <xdr:sp macro="" textlink="Calculations!D24">
        <xdr:nvSpPr>
          <xdr:cNvPr id="18" name="Textfeld 17">
            <a:extLst>
              <a:ext uri="{FF2B5EF4-FFF2-40B4-BE49-F238E27FC236}">
                <a16:creationId xmlns:a16="http://schemas.microsoft.com/office/drawing/2014/main" id="{0D174F85-23C9-A564-16D0-E43B7929400C}"/>
              </a:ext>
            </a:extLst>
          </xdr:cNvPr>
          <xdr:cNvSpPr txBox="1"/>
        </xdr:nvSpPr>
        <xdr:spPr>
          <a:xfrm>
            <a:off x="4036402" y="1179634"/>
            <a:ext cx="718038" cy="3443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031CD5-44F2-4461-B180-C8DF0DD68BA8}" type="TxLink">
              <a:rPr lang="en-US" sz="1600" b="1" i="0" u="none" strike="noStrike">
                <a:solidFill>
                  <a:srgbClr val="000000"/>
                </a:solidFill>
                <a:latin typeface="Calibri"/>
                <a:ea typeface="Calibri"/>
                <a:cs typeface="Calibri"/>
              </a:rPr>
              <a:pPr algn="ctr"/>
              <a:t>16%</a:t>
            </a:fld>
            <a:endParaRPr lang="de-DE" sz="3600" b="1">
              <a:latin typeface="+mn-lt"/>
            </a:endParaRPr>
          </a:p>
        </xdr:txBody>
      </xdr:sp>
    </xdr:grpSp>
    <xdr:clientData/>
  </xdr:twoCellAnchor>
  <xdr:twoCellAnchor editAs="absolute">
    <xdr:from>
      <xdr:col>28</xdr:col>
      <xdr:colOff>43793</xdr:colOff>
      <xdr:row>3</xdr:row>
      <xdr:rowOff>143933</xdr:rowOff>
    </xdr:from>
    <xdr:to>
      <xdr:col>33</xdr:col>
      <xdr:colOff>73099</xdr:colOff>
      <xdr:row>8</xdr:row>
      <xdr:rowOff>185696</xdr:rowOff>
    </xdr:to>
    <xdr:grpSp>
      <xdr:nvGrpSpPr>
        <xdr:cNvPr id="21" name="Gruppieren 20">
          <a:extLst>
            <a:ext uri="{FF2B5EF4-FFF2-40B4-BE49-F238E27FC236}">
              <a16:creationId xmlns:a16="http://schemas.microsoft.com/office/drawing/2014/main" id="{4280B696-089B-4707-8971-7CCB80CDB77E}"/>
            </a:ext>
          </a:extLst>
        </xdr:cNvPr>
        <xdr:cNvGrpSpPr/>
      </xdr:nvGrpSpPr>
      <xdr:grpSpPr>
        <a:xfrm>
          <a:off x="5682593" y="728133"/>
          <a:ext cx="4702906" cy="1006963"/>
          <a:chOff x="2381248" y="704849"/>
          <a:chExt cx="2876552" cy="1038225"/>
        </a:xfrm>
      </xdr:grpSpPr>
      <xdr:grpSp>
        <xdr:nvGrpSpPr>
          <xdr:cNvPr id="22" name="Gruppieren 21">
            <a:extLst>
              <a:ext uri="{FF2B5EF4-FFF2-40B4-BE49-F238E27FC236}">
                <a16:creationId xmlns:a16="http://schemas.microsoft.com/office/drawing/2014/main" id="{643F90BE-EF51-E346-471D-E8B5A218B785}"/>
              </a:ext>
            </a:extLst>
          </xdr:cNvPr>
          <xdr:cNvGrpSpPr/>
        </xdr:nvGrpSpPr>
        <xdr:grpSpPr>
          <a:xfrm>
            <a:off x="2381248" y="704849"/>
            <a:ext cx="2876552" cy="1038225"/>
            <a:chOff x="3533774" y="714374"/>
            <a:chExt cx="1617822" cy="1038225"/>
          </a:xfrm>
        </xdr:grpSpPr>
        <xdr:grpSp>
          <xdr:nvGrpSpPr>
            <xdr:cNvPr id="24" name="Gruppieren 23">
              <a:extLst>
                <a:ext uri="{FF2B5EF4-FFF2-40B4-BE49-F238E27FC236}">
                  <a16:creationId xmlns:a16="http://schemas.microsoft.com/office/drawing/2014/main" id="{7CBF27BC-8154-35DE-7598-727089BB2911}"/>
                </a:ext>
              </a:extLst>
            </xdr:cNvPr>
            <xdr:cNvGrpSpPr/>
          </xdr:nvGrpSpPr>
          <xdr:grpSpPr>
            <a:xfrm>
              <a:off x="3533774" y="714374"/>
              <a:ext cx="1529673" cy="1038225"/>
              <a:chOff x="1533524" y="761999"/>
              <a:chExt cx="1529673" cy="1038225"/>
            </a:xfrm>
          </xdr:grpSpPr>
          <xdr:sp macro="" textlink="">
            <xdr:nvSpPr>
              <xdr:cNvPr id="26" name="Rechteck: abgerundete Ecken 25">
                <a:extLst>
                  <a:ext uri="{FF2B5EF4-FFF2-40B4-BE49-F238E27FC236}">
                    <a16:creationId xmlns:a16="http://schemas.microsoft.com/office/drawing/2014/main" id="{13E326FE-A114-D2AE-5A86-C27F47E68DA7}"/>
                  </a:ext>
                </a:extLst>
              </xdr:cNvPr>
              <xdr:cNvSpPr/>
            </xdr:nvSpPr>
            <xdr:spPr>
              <a:xfrm>
                <a:off x="1533524" y="761999"/>
                <a:ext cx="1529673"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25">
            <xdr:nvSpPr>
              <xdr:cNvPr id="27" name="Textfeld 26">
                <a:extLst>
                  <a:ext uri="{FF2B5EF4-FFF2-40B4-BE49-F238E27FC236}">
                    <a16:creationId xmlns:a16="http://schemas.microsoft.com/office/drawing/2014/main" id="{094E0021-F766-AB70-7C0D-DBF2E81110CF}"/>
                  </a:ext>
                </a:extLst>
              </xdr:cNvPr>
              <xdr:cNvSpPr txBox="1"/>
            </xdr:nvSpPr>
            <xdr:spPr>
              <a:xfrm>
                <a:off x="1557366" y="1200149"/>
                <a:ext cx="296621"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942F9B9-489D-42CC-A5E7-98D10D6B0CC8}" type="TxLink">
                  <a:rPr lang="en-US" sz="1600" b="1" i="0" u="none" strike="noStrike">
                    <a:solidFill>
                      <a:srgbClr val="000000"/>
                    </a:solidFill>
                    <a:latin typeface="Calibri"/>
                    <a:ea typeface="Calibri"/>
                    <a:cs typeface="Calibri"/>
                  </a:rPr>
                  <a:pPr/>
                  <a:t> -   € </a:t>
                </a:fld>
                <a:endParaRPr lang="de-DE" sz="8000" b="1"/>
              </a:p>
            </xdr:txBody>
          </xdr:sp>
        </xdr:grpSp>
        <xdr:sp macro="" textlink="">
          <xdr:nvSpPr>
            <xdr:cNvPr id="25" name="Textfeld 24">
              <a:extLst>
                <a:ext uri="{FF2B5EF4-FFF2-40B4-BE49-F238E27FC236}">
                  <a16:creationId xmlns:a16="http://schemas.microsoft.com/office/drawing/2014/main" id="{47632EDC-FB43-BC5D-239C-5896AFCE531A}"/>
                </a:ext>
              </a:extLst>
            </xdr:cNvPr>
            <xdr:cNvSpPr txBox="1"/>
          </xdr:nvSpPr>
          <xdr:spPr>
            <a:xfrm>
              <a:off x="3533774" y="800099"/>
              <a:ext cx="161782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Periode Tracking Bilanz</a:t>
              </a:r>
              <a:endParaRPr lang="de-DE" sz="1050"/>
            </a:p>
          </xdr:txBody>
        </xdr:sp>
      </xdr:grpSp>
      <xdr:sp macro="" textlink="Calculations!D26">
        <xdr:nvSpPr>
          <xdr:cNvPr id="23" name="Textfeld 22">
            <a:extLst>
              <a:ext uri="{FF2B5EF4-FFF2-40B4-BE49-F238E27FC236}">
                <a16:creationId xmlns:a16="http://schemas.microsoft.com/office/drawing/2014/main" id="{0D4115B5-51AF-3E67-FCC1-10650FB784CD}"/>
              </a:ext>
            </a:extLst>
          </xdr:cNvPr>
          <xdr:cNvSpPr txBox="1"/>
        </xdr:nvSpPr>
        <xdr:spPr>
          <a:xfrm>
            <a:off x="2895902" y="1142999"/>
            <a:ext cx="2136352"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018DFE0-BF52-4276-A6F5-E1BCE5624070}" type="TxLink">
              <a:rPr lang="en-US" sz="1600" b="1" i="0" u="none" strike="noStrike">
                <a:solidFill>
                  <a:srgbClr val="000000"/>
                </a:solidFill>
                <a:latin typeface="Calibri"/>
                <a:ea typeface="Calibri"/>
                <a:cs typeface="Calibri"/>
              </a:rPr>
              <a:pPr algn="r"/>
              <a:t> of tracked income left to be allocated</a:t>
            </a:fld>
            <a:endParaRPr lang="de-DE" sz="13800" b="1"/>
          </a:p>
        </xdr:txBody>
      </xdr:sp>
    </xdr:grpSp>
    <xdr:clientData/>
  </xdr:twoCellAnchor>
  <xdr:twoCellAnchor editAs="absolute">
    <xdr:from>
      <xdr:col>32</xdr:col>
      <xdr:colOff>884924</xdr:colOff>
      <xdr:row>3</xdr:row>
      <xdr:rowOff>143933</xdr:rowOff>
    </xdr:from>
    <xdr:to>
      <xdr:col>39</xdr:col>
      <xdr:colOff>461428</xdr:colOff>
      <xdr:row>8</xdr:row>
      <xdr:rowOff>185696</xdr:rowOff>
    </xdr:to>
    <xdr:grpSp>
      <xdr:nvGrpSpPr>
        <xdr:cNvPr id="28" name="Gruppieren 27">
          <a:extLst>
            <a:ext uri="{FF2B5EF4-FFF2-40B4-BE49-F238E27FC236}">
              <a16:creationId xmlns:a16="http://schemas.microsoft.com/office/drawing/2014/main" id="{C07DDB59-25A4-49BB-963E-C37468BD09AC}"/>
            </a:ext>
          </a:extLst>
        </xdr:cNvPr>
        <xdr:cNvGrpSpPr/>
      </xdr:nvGrpSpPr>
      <xdr:grpSpPr>
        <a:xfrm>
          <a:off x="10299857" y="728133"/>
          <a:ext cx="4529504" cy="1006963"/>
          <a:chOff x="9845919" y="672612"/>
          <a:chExt cx="4550019" cy="1038225"/>
        </a:xfrm>
      </xdr:grpSpPr>
      <xdr:sp macro="" textlink="">
        <xdr:nvSpPr>
          <xdr:cNvPr id="29" name="Rechteck: abgerundete Ecken 28">
            <a:extLst>
              <a:ext uri="{FF2B5EF4-FFF2-40B4-BE49-F238E27FC236}">
                <a16:creationId xmlns:a16="http://schemas.microsoft.com/office/drawing/2014/main" id="{F5DF1D3B-C832-ABD8-1879-D05A4A8F5046}"/>
              </a:ext>
            </a:extLst>
          </xdr:cNvPr>
          <xdr:cNvSpPr/>
        </xdr:nvSpPr>
        <xdr:spPr>
          <a:xfrm>
            <a:off x="9845919" y="672612"/>
            <a:ext cx="4302106" cy="1038225"/>
          </a:xfrm>
          <a:prstGeom prst="roundRect">
            <a:avLst/>
          </a:prstGeom>
          <a:solidFill>
            <a:schemeClr val="bg1"/>
          </a:solidFill>
          <a:ln w="6350">
            <a:solidFill>
              <a:schemeClr val="bg1">
                <a:lumMod val="6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 textlink="Calculations!D27">
        <xdr:nvSpPr>
          <xdr:cNvPr id="30" name="Textfeld 29">
            <a:extLst>
              <a:ext uri="{FF2B5EF4-FFF2-40B4-BE49-F238E27FC236}">
                <a16:creationId xmlns:a16="http://schemas.microsoft.com/office/drawing/2014/main" id="{08C42ACA-9E39-B61B-5E68-EABAC4DDFA64}"/>
              </a:ext>
            </a:extLst>
          </xdr:cNvPr>
          <xdr:cNvSpPr txBox="1"/>
        </xdr:nvSpPr>
        <xdr:spPr>
          <a:xfrm>
            <a:off x="10940190" y="1137139"/>
            <a:ext cx="685776"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485A18-7A9E-47DF-B3B7-215D4D716C80}" type="TxLink">
              <a:rPr lang="en-US" sz="1100" b="0" i="0" u="none" strike="noStrike">
                <a:solidFill>
                  <a:srgbClr val="000000"/>
                </a:solidFill>
                <a:latin typeface="Calibri"/>
                <a:ea typeface="Calibri"/>
                <a:cs typeface="Calibri"/>
              </a:rPr>
              <a:pPr/>
              <a:t>-</a:t>
            </a:fld>
            <a:endParaRPr lang="de-DE" sz="8000" b="1">
              <a:solidFill>
                <a:schemeClr val="accent4"/>
              </a:solidFill>
            </a:endParaRPr>
          </a:p>
        </xdr:txBody>
      </xdr:sp>
      <xdr:sp macro="" textlink="">
        <xdr:nvSpPr>
          <xdr:cNvPr id="31" name="Textfeld 30">
            <a:extLst>
              <a:ext uri="{FF2B5EF4-FFF2-40B4-BE49-F238E27FC236}">
                <a16:creationId xmlns:a16="http://schemas.microsoft.com/office/drawing/2014/main" id="{A8428452-20B0-F9F0-0FEC-5FE37B65B711}"/>
              </a:ext>
            </a:extLst>
          </xdr:cNvPr>
          <xdr:cNvSpPr txBox="1"/>
        </xdr:nvSpPr>
        <xdr:spPr>
          <a:xfrm>
            <a:off x="9845919" y="758337"/>
            <a:ext cx="4550019"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latin typeface="Calibri" panose="020F0502020204030204" pitchFamily="34" charset="0"/>
                <a:ea typeface="Calibri" panose="020F0502020204030204" pitchFamily="34" charset="0"/>
                <a:cs typeface="Calibri" panose="020F0502020204030204" pitchFamily="34" charset="0"/>
              </a:rPr>
              <a:t>Monatliche Sparrate</a:t>
            </a:r>
            <a:endParaRPr lang="de-DE" sz="1050"/>
          </a:p>
        </xdr:txBody>
      </xdr:sp>
      <xdr:sp macro="" textlink="">
        <xdr:nvSpPr>
          <xdr:cNvPr id="32" name="Textfeld 31">
            <a:extLst>
              <a:ext uri="{FF2B5EF4-FFF2-40B4-BE49-F238E27FC236}">
                <a16:creationId xmlns:a16="http://schemas.microsoft.com/office/drawing/2014/main" id="{C5F537DB-B469-737F-D9CD-8EC5D653CBC9}"/>
              </a:ext>
            </a:extLst>
          </xdr:cNvPr>
          <xdr:cNvSpPr txBox="1"/>
        </xdr:nvSpPr>
        <xdr:spPr>
          <a:xfrm>
            <a:off x="11557219" y="1137139"/>
            <a:ext cx="247544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i="0" u="none" strike="noStrike">
                <a:solidFill>
                  <a:srgbClr val="000000"/>
                </a:solidFill>
                <a:latin typeface="+mn-lt"/>
                <a:ea typeface="Calibri"/>
                <a:cs typeface="Calibri"/>
              </a:rPr>
              <a:t>von</a:t>
            </a:r>
            <a:r>
              <a:rPr lang="en-US" sz="1600" b="1" i="0" u="none" strike="noStrike" baseline="0">
                <a:solidFill>
                  <a:srgbClr val="000000"/>
                </a:solidFill>
                <a:latin typeface="+mn-lt"/>
                <a:ea typeface="Calibri"/>
                <a:cs typeface="Calibri"/>
              </a:rPr>
              <a:t> deinem Einkommen.</a:t>
            </a:r>
            <a:endParaRPr lang="en-US" sz="1600" b="1" i="0" u="none" strike="noStrike">
              <a:solidFill>
                <a:srgbClr val="000000"/>
              </a:solidFill>
              <a:latin typeface="+mn-lt"/>
              <a:ea typeface="Calibri"/>
              <a:cs typeface="Calibri"/>
            </a:endParaRPr>
          </a:p>
        </xdr:txBody>
      </xdr:sp>
      <xdr:sp macro="" textlink="">
        <xdr:nvSpPr>
          <xdr:cNvPr id="33" name="Textfeld 32">
            <a:extLst>
              <a:ext uri="{FF2B5EF4-FFF2-40B4-BE49-F238E27FC236}">
                <a16:creationId xmlns:a16="http://schemas.microsoft.com/office/drawing/2014/main" id="{B71ED92E-1174-31C3-18B3-560830BA6FA9}"/>
              </a:ext>
            </a:extLst>
          </xdr:cNvPr>
          <xdr:cNvSpPr txBox="1"/>
        </xdr:nvSpPr>
        <xdr:spPr>
          <a:xfrm>
            <a:off x="9911862" y="1137139"/>
            <a:ext cx="1032963"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i="0" u="none" strike="noStrike">
                <a:solidFill>
                  <a:srgbClr val="000000"/>
                </a:solidFill>
                <a:latin typeface="+mn-lt"/>
                <a:ea typeface="Calibri"/>
                <a:cs typeface="Calibri"/>
              </a:rPr>
              <a:t>Du sparst</a:t>
            </a:r>
          </a:p>
        </xdr:txBody>
      </xdr: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come_subcategories" displayName="income_subcategories" ref="I6:I7" totalsRowShown="0" headerRowDxfId="87" dataDxfId="86">
  <autoFilter ref="I6:I7" xr:uid="{00000000-0009-0000-0100-000001000000}">
    <filterColumn colId="0" hiddenButton="1"/>
  </autoFilter>
  <tableColumns count="1">
    <tableColumn id="1" xr3:uid="{00000000-0010-0000-0000-000001000000}" name="Einkommen" dataDxfId="85"/>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fixed_costs_subcategories" displayName="fixed_costs_subcategories" ref="J6:J7" insertRow="1" totalsRowShown="0" headerRowDxfId="84" dataDxfId="83">
  <autoFilter ref="J6:J7" xr:uid="{00000000-0009-0000-0100-000002000000}">
    <filterColumn colId="0" hiddenButton="1"/>
  </autoFilter>
  <tableColumns count="1">
    <tableColumn id="1" xr3:uid="{00000000-0010-0000-0100-000001000000}" name="Fixkosten" dataDxfId="82"/>
  </tableColumns>
  <tableStyleInfo name="TableStyleMedium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variable_costs_subcategories" displayName="variable_costs_subcategories" ref="K6:K9" totalsRowShown="0" headerRowDxfId="81" dataDxfId="80">
  <autoFilter ref="K6:K9" xr:uid="{00000000-0009-0000-0100-000003000000}">
    <filterColumn colId="0" hiddenButton="1"/>
  </autoFilter>
  <tableColumns count="1">
    <tableColumn id="1" xr3:uid="{00000000-0010-0000-0200-000001000000}" name="Variablekosten" dataDxfId="79"/>
  </tableColumns>
  <tableStyleInfo name="TableStyleMedium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investment_subcategories" displayName="investment_subcategories" ref="L6:L8" totalsRowShown="0" headerRowDxfId="78" dataDxfId="77">
  <autoFilter ref="L6:L8" xr:uid="{00000000-0009-0000-0100-000004000000}">
    <filterColumn colId="0" hiddenButton="1"/>
  </autoFilter>
  <tableColumns count="1">
    <tableColumn id="1" xr3:uid="{00000000-0010-0000-0300-000001000000}" name="Investment" dataDxfId="76"/>
  </tableColumns>
  <tableStyleInfo name="TableStyleMedium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mportTable" displayName="ImportTable" ref="B11:H291" headerRowDxfId="98">
  <autoFilter ref="B11:H291" xr:uid="{00000000-0009-0000-0100-000005000000}"/>
  <tableColumns count="7">
    <tableColumn id="1" xr3:uid="{00000000-0010-0000-0400-000001000000}" name="Datum"/>
    <tableColumn id="2" xr3:uid="{00000000-0010-0000-0400-000002000000}" name="Betrag"/>
    <tableColumn id="3" xr3:uid="{00000000-0010-0000-0400-000003000000}" name="Empfänger"/>
    <tableColumn id="4" xr3:uid="{00000000-0010-0000-0400-000004000000}" name="Type"/>
    <tableColumn id="5" xr3:uid="{00000000-0010-0000-0400-000005000000}" name="Kategorie"/>
    <tableColumn id="6" xr3:uid="{00000000-0010-0000-0400-000006000000}" name="Subkategorie"/>
    <tableColumn id="8" xr3:uid="{00000000-0010-0000-0400-000008000000}" name="Details"/>
  </tableColumns>
  <tableStyleInfo name="Tracking Table Sty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ulesTable" displayName="RulesTable" ref="J11:M15" totalsRowShown="0" headerRowDxfId="97" dataDxfId="96" tableBorderDxfId="95">
  <autoFilter ref="J11:M15" xr:uid="{00000000-0009-0000-0100-000006000000}">
    <filterColumn colId="0" hiddenButton="1"/>
    <filterColumn colId="1" hiddenButton="1"/>
    <filterColumn colId="2" hiddenButton="1"/>
    <filterColumn colId="3" hiddenButton="1"/>
  </autoFilter>
  <tableColumns count="4">
    <tableColumn id="1" xr3:uid="{00000000-0010-0000-0500-000001000000}" name="Match" dataDxfId="94"/>
    <tableColumn id="2" xr3:uid="{00000000-0010-0000-0500-000002000000}" name="Type" dataDxfId="93"/>
    <tableColumn id="3" xr3:uid="{00000000-0010-0000-0500-000003000000}" name="Kategorie" dataDxfId="92"/>
    <tableColumn id="4" xr3:uid="{00000000-0010-0000-0500-000004000000}" name="Subkategorie" dataDxfId="91"/>
  </tableColumns>
  <tableStyleInfo name="TableStyleMedium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racking" displayName="Tracking" ref="C17:K18" insertRow="1" totalsRowShown="0" headerRowDxfId="61" dataDxfId="60">
  <autoFilter ref="C17:K18" xr:uid="{00000000-0009-0000-0100-000007000000}"/>
  <sortState xmlns:xlrd2="http://schemas.microsoft.com/office/spreadsheetml/2017/richdata2" ref="C18:K18">
    <sortCondition ref="C18"/>
  </sortState>
  <tableColumns count="9">
    <tableColumn id="1" xr3:uid="{00000000-0010-0000-0600-000001000000}" name="Datum" dataDxfId="59"/>
    <tableColumn id="2" xr3:uid="{00000000-0010-0000-0600-000002000000}" name="Type" dataDxfId="58"/>
    <tableColumn id="3" xr3:uid="{00000000-0010-0000-0600-000003000000}" name="Kategorie" dataDxfId="57"/>
    <tableColumn id="6" xr3:uid="{00000000-0010-0000-0600-000006000000}" name="Subkategorie" dataDxfId="56"/>
    <tableColumn id="4" xr3:uid="{00000000-0010-0000-0600-000004000000}" name="Betrag" dataDxfId="55"/>
    <tableColumn id="9" xr3:uid="{00000000-0010-0000-0600-000009000000}" name="Empfänger" dataDxfId="54"/>
    <tableColumn id="5" xr3:uid="{00000000-0010-0000-0600-000005000000}" name="Details" dataDxfId="53"/>
    <tableColumn id="7" xr3:uid="{00000000-0010-0000-0600-000007000000}" name="Bilanz" dataDxfId="52">
      <calculatedColumnFormula array="1">SUMPRODUCT(
    Tracking[Betrag],
    --(Tracking[Datum]&lt;=Tracking[[#This Row],[Datum]]),
    (TRIM(Tracking[Type])="Einkommen") + (TRIM(Tracking[Type])="Initialbestand") + (TRIM(Tracking[Type])="System-Abgleich") - ((TRIM(Tracking[Type])="Fixkosten") + (TRIM(Tracking[Type])="Variablekosten") + (TRIM(Tracking[Type])="Investment"))
)</calculatedColumnFormula>
    </tableColumn>
    <tableColumn id="8" xr3:uid="{00000000-0010-0000-0600-000008000000}" name="Effektiv Datum" dataDxfId="51">
      <calculatedColumnFormula>IF(AND(Tracking[[#This Row],[Type]]="Einkommen",income_shift_status=TRUE,DAY(Tracking[[#This Row],[Datum]])&gt;=income_shift_start_day),DATE(YEAR(Tracking[[#This Row],[Datum]]),MONTH(Tracking[[#This Row],[Datum]])+1,1),Tracking[[#This Row],[Datum]])</calculatedColumnFormula>
    </tableColumn>
  </tableColumns>
  <tableStyleInfo name="Tracking Table Style"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Income" displayName="Income" ref="C9:C12" totalsRowShown="0" headerRowDxfId="40" dataDxfId="39">
  <autoFilter ref="C9:C12" xr:uid="{00000000-0009-0000-0100-000008000000}">
    <filterColumn colId="0" hiddenButton="1"/>
  </autoFilter>
  <tableColumns count="1">
    <tableColumn id="1" xr3:uid="{00000000-0010-0000-0700-000001000000}" name="Einkommen" dataDxfId="38"/>
  </tableColumns>
  <tableStyleInfo name="Einkommenstabelle Style"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FixedCosts" displayName="FixedCosts" ref="C22:C26" totalsRowShown="0" headerRowDxfId="37" dataDxfId="36">
  <autoFilter ref="C22:C26" xr:uid="{00000000-0009-0000-0100-000009000000}">
    <filterColumn colId="0" hiddenButton="1"/>
  </autoFilter>
  <tableColumns count="1">
    <tableColumn id="1" xr3:uid="{00000000-0010-0000-0800-000001000000}" name="Fixkosten" dataDxfId="35"/>
  </tableColumns>
  <tableStyleInfo name="Fixkostentabelle Style "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VariableCosts" displayName="VariableCosts" ref="C35:C40" totalsRowShown="0" headerRowDxfId="34" dataDxfId="33">
  <autoFilter ref="C35:C40" xr:uid="{00000000-0009-0000-0100-00000A000000}">
    <filterColumn colId="0" hiddenButton="1"/>
  </autoFilter>
  <tableColumns count="1">
    <tableColumn id="1" xr3:uid="{00000000-0010-0000-0900-000001000000}" name="Variablekosten" dataDxfId="32"/>
  </tableColumns>
  <tableStyleInfo name="Variablekostentabelle Style "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Investment" displayName="Investment" ref="C48:C51" totalsRowShown="0" headerRowDxfId="31" dataDxfId="30">
  <autoFilter ref="C48:C51" xr:uid="{00000000-0009-0000-0100-00000B000000}">
    <filterColumn colId="0" hiddenButton="1"/>
  </autoFilter>
  <tableColumns count="1">
    <tableColumn id="1" xr3:uid="{00000000-0010-0000-0A00-000001000000}" name="Investment" dataDxfId="29"/>
  </tableColumns>
  <tableStyleInfo name="Investmenttabelle Style  "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18518B2-D9ED-4B8B-B7A0-8E9C2E13F799}">
  <we:reference id="wa200009404" version="1.0.0.8" store="en-US" storeType="OMEX"/>
  <we:alternateReferences>
    <we:reference id="wa200009404" version="1.0.0.8" store="en-US" storeType="OMEX"/>
  </we:alternateReferences>
  <we:properties>
    <we:property name="claude.fileId" value="&quot;dfea87c9-3e78-44f5-ba7d-abb5ee5b0047&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table" Target="../tables/table8.xml"/><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3.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tabColor theme="1" tint="0.499984740745262"/>
  </sheetPr>
  <dimension ref="A1:F19"/>
  <sheetViews>
    <sheetView workbookViewId="0">
      <selection activeCell="C18" sqref="C18"/>
    </sheetView>
  </sheetViews>
  <sheetFormatPr baseColWidth="10" defaultColWidth="10.6640625" defaultRowHeight="14.4" x14ac:dyDescent="0.3"/>
  <cols>
    <col min="1" max="1" width="20.88671875" style="136" customWidth="1"/>
    <col min="3" max="3" width="17.109375" style="136" customWidth="1"/>
    <col min="4" max="4" width="20" style="136" customWidth="1"/>
    <col min="5" max="5" width="24.44140625" style="136" customWidth="1"/>
    <col min="6" max="6" width="18.33203125" style="136" customWidth="1"/>
  </cols>
  <sheetData>
    <row r="1" spans="1:5" s="39" customFormat="1" ht="15" customHeight="1" x14ac:dyDescent="0.7">
      <c r="A1" s="172" t="s">
        <v>13</v>
      </c>
    </row>
    <row r="2" spans="1:5" s="39" customFormat="1" ht="15" customHeight="1" x14ac:dyDescent="0.7">
      <c r="A2" s="173"/>
    </row>
    <row r="3" spans="1:5" s="39" customFormat="1" ht="15" customHeight="1" x14ac:dyDescent="0.7">
      <c r="A3" s="173"/>
    </row>
    <row r="6" spans="1:5" x14ac:dyDescent="0.3">
      <c r="C6" s="42" t="s">
        <v>14</v>
      </c>
    </row>
    <row r="7" spans="1:5" x14ac:dyDescent="0.3">
      <c r="C7" s="10"/>
    </row>
    <row r="8" spans="1:5" x14ac:dyDescent="0.3">
      <c r="B8" t="s">
        <v>15</v>
      </c>
      <c r="C8" s="26"/>
      <c r="D8" s="94"/>
      <c r="E8" t="s">
        <v>16</v>
      </c>
    </row>
    <row r="9" spans="1:5" x14ac:dyDescent="0.3">
      <c r="B9" t="s">
        <v>17</v>
      </c>
      <c r="C9" s="13"/>
      <c r="D9" s="93"/>
      <c r="E9" t="s">
        <v>18</v>
      </c>
    </row>
    <row r="10" spans="1:5" x14ac:dyDescent="0.3">
      <c r="B10" t="s">
        <v>19</v>
      </c>
      <c r="C10" s="25"/>
      <c r="D10" s="92"/>
      <c r="E10" t="s">
        <v>20</v>
      </c>
    </row>
    <row r="11" spans="1:5" x14ac:dyDescent="0.3">
      <c r="B11" t="s">
        <v>21</v>
      </c>
      <c r="C11" s="27"/>
      <c r="D11" s="31"/>
      <c r="E11" t="s">
        <v>22</v>
      </c>
    </row>
    <row r="16" spans="1:5" x14ac:dyDescent="0.3">
      <c r="E16" s="43"/>
    </row>
    <row r="17" spans="5:5" x14ac:dyDescent="0.3">
      <c r="E17" s="43"/>
    </row>
    <row r="18" spans="5:5" x14ac:dyDescent="0.3">
      <c r="E18" s="43"/>
    </row>
    <row r="19" spans="5:5" x14ac:dyDescent="0.3">
      <c r="E19" s="43"/>
    </row>
  </sheetData>
  <mergeCells count="1">
    <mergeCell ref="A1:A3"/>
  </mergeCells>
  <conditionalFormatting sqref="D9">
    <cfRule type="expression" dxfId="90" priority="2">
      <formula>ROW(B9)&lt;=investment_max_row</formula>
    </cfRule>
  </conditionalFormatting>
  <conditionalFormatting sqref="D10">
    <cfRule type="expression" dxfId="89" priority="3">
      <formula>ROW(B10)&lt;=Fixkosten_Max_Row</formula>
    </cfRule>
  </conditionalFormatting>
  <conditionalFormatting sqref="D8">
    <cfRule type="expression" dxfId="88" priority="1">
      <formula>ROW(B8)&lt;=Einkommen_Max_Row</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tabColor theme="1" tint="0.499984740745262"/>
  </sheetPr>
  <dimension ref="A1:T30"/>
  <sheetViews>
    <sheetView workbookViewId="0">
      <selection activeCell="K10" sqref="K10"/>
    </sheetView>
  </sheetViews>
  <sheetFormatPr baseColWidth="10" defaultColWidth="10.6640625" defaultRowHeight="14.4" x14ac:dyDescent="0.3"/>
  <cols>
    <col min="2" max="2" width="17.6640625" style="6" customWidth="1"/>
    <col min="4" max="4" width="20.88671875" style="6" customWidth="1"/>
    <col min="6" max="6" width="20.44140625" style="136" customWidth="1"/>
    <col min="8" max="8" width="21.5546875" style="136" customWidth="1"/>
    <col min="9" max="9" width="16" style="136" customWidth="1"/>
    <col min="10" max="10" width="19.33203125" style="136" customWidth="1"/>
    <col min="11" max="11" width="18.6640625" style="136" customWidth="1"/>
    <col min="12" max="12" width="16" style="136" customWidth="1"/>
  </cols>
  <sheetData>
    <row r="1" spans="1:20" s="39" customFormat="1" ht="15" customHeight="1" x14ac:dyDescent="0.7">
      <c r="A1" s="174" t="s">
        <v>23</v>
      </c>
      <c r="B1" s="173"/>
      <c r="C1" s="173"/>
      <c r="D1" s="173"/>
    </row>
    <row r="2" spans="1:20" s="39" customFormat="1" ht="15" customHeight="1" x14ac:dyDescent="0.7">
      <c r="A2" s="173"/>
      <c r="B2" s="173"/>
      <c r="C2" s="173"/>
      <c r="D2" s="173"/>
    </row>
    <row r="3" spans="1:20" s="39" customFormat="1" ht="15" customHeight="1" x14ac:dyDescent="0.7">
      <c r="A3" s="173"/>
      <c r="B3" s="173"/>
      <c r="C3" s="173"/>
      <c r="D3" s="173"/>
    </row>
    <row r="4" spans="1:20" ht="15" customHeight="1" thickBot="1" x14ac:dyDescent="0.35"/>
    <row r="5" spans="1:20" ht="28.8" x14ac:dyDescent="0.3">
      <c r="B5" s="53" t="s">
        <v>24</v>
      </c>
      <c r="D5" s="53" t="s">
        <v>25</v>
      </c>
      <c r="F5" s="53" t="s">
        <v>26</v>
      </c>
      <c r="I5" s="175" t="s">
        <v>27</v>
      </c>
      <c r="J5" s="176"/>
      <c r="K5" s="176"/>
      <c r="L5" s="177"/>
      <c r="N5" t="s">
        <v>151</v>
      </c>
      <c r="O5" t="s">
        <v>152</v>
      </c>
      <c r="Q5" t="s">
        <v>155</v>
      </c>
      <c r="R5" t="s">
        <v>156</v>
      </c>
      <c r="S5" t="s">
        <v>157</v>
      </c>
      <c r="T5" t="s">
        <v>158</v>
      </c>
    </row>
    <row r="6" spans="1:20" x14ac:dyDescent="0.3">
      <c r="B6" s="54" t="s">
        <v>28</v>
      </c>
      <c r="D6" s="54" t="s">
        <v>29</v>
      </c>
      <c r="F6" s="54" t="s">
        <v>30</v>
      </c>
      <c r="I6" s="8" t="s">
        <v>31</v>
      </c>
      <c r="J6" s="8" t="s">
        <v>8</v>
      </c>
      <c r="K6" s="8" t="s">
        <v>9</v>
      </c>
      <c r="L6" s="8" t="s">
        <v>12</v>
      </c>
      <c r="N6" t="str" cm="1">
        <f t="array" ref="N6">IFERROR(_xlfn._xlws.FILTER(CHOOSE(MATCH('Budget Tracking'!D14,{"Einkommen";"Fixkosten";"Variablekosten";"Investment"},0),'Budget Planning'!C10:C12,'Budget Planning'!C23:C26,'Budget Planning'!C36:C40,'Budget Planning'!C49:C51),LEFT(CHOOSE(MATCH('Budget Tracking'!D14,{"Einkommen";"Fixkosten";"Variablekosten";"Investment"},0),'Budget Planning'!C10:C12,'Budget Planning'!C23:C26,'Budget Planning'!C36:C40,'Budget Planning'!C49:C51),5)&lt;&gt;"Gebe "),"")</f>
        <v/>
      </c>
      <c r="O6" t="str" cm="1">
        <f t="array" ref="O6">IFERROR(CHOOSE(MATCH('Budget Tracking'!D14,{"Einkommen";"Fixkosten";"Variablekosten";"Investment"},0),income_subcategories[Einkommen],fixed_costs_subcategories[Fixkosten],variable_costs_subcategories[Variablekosten],investment_subcategories[Investment]),"")</f>
        <v/>
      </c>
      <c r="Q6" t="str" cm="1">
        <f t="array" ref="Q6:Q8">IFERROR(_xlfn._xlws.FILTER('Budget Planning'!C10:C12,LEFT('Budget Planning'!C10:C12,5)&lt;&gt;"Gebe "),"")</f>
        <v>Ein 1</v>
      </c>
      <c r="R6" t="str" cm="1">
        <f t="array" ref="R6:R9">IFERROR(_xlfn._xlws.FILTER('Budget Planning'!C23:C26,LEFT('Budget Planning'!C23:C26,5)&lt;&gt;"Gebe "),"")</f>
        <v>Fix 1</v>
      </c>
      <c r="S6" t="str" cm="1">
        <f t="array" ref="S6:S10">IFERROR(_xlfn._xlws.FILTER('Budget Planning'!C36:C40,LEFT('Budget Planning'!C36:C40,5)&lt;&gt;"Gebe "),"")</f>
        <v>Var 1</v>
      </c>
      <c r="T6" t="str" cm="1">
        <f t="array" ref="T6:T8">IFERROR(_xlfn._xlws.FILTER('Budget Planning'!C49:C51,LEFT('Budget Planning'!C49:C51,5)&lt;&gt;"Gebe "),"")</f>
        <v>Inv 1</v>
      </c>
    </row>
    <row r="7" spans="1:20" x14ac:dyDescent="0.3">
      <c r="B7" s="54" t="s">
        <v>32</v>
      </c>
      <c r="D7" s="54">
        <f>start_year</f>
        <v>2025</v>
      </c>
      <c r="F7" s="54" t="s">
        <v>33</v>
      </c>
      <c r="J7" s="8"/>
      <c r="K7" s="8" t="s">
        <v>153</v>
      </c>
      <c r="L7" s="8"/>
      <c r="Q7" t="str">
        <v>Ein 2</v>
      </c>
      <c r="R7" t="str">
        <v>Fix 2</v>
      </c>
      <c r="S7" t="str">
        <v>Var 2</v>
      </c>
      <c r="T7" t="str">
        <v>Inv 2</v>
      </c>
    </row>
    <row r="8" spans="1:20" ht="15" customHeight="1" thickBot="1" x14ac:dyDescent="0.35">
      <c r="B8" s="55"/>
      <c r="D8" s="54">
        <f t="shared" ref="D8:D21" si="0">D7+1</f>
        <v>2026</v>
      </c>
      <c r="F8" s="56">
        <v>36526</v>
      </c>
      <c r="K8" s="8" t="s">
        <v>162</v>
      </c>
      <c r="L8" s="8"/>
      <c r="Q8" t="str">
        <v>Ein 3</v>
      </c>
      <c r="R8" t="str">
        <v>Fix 3</v>
      </c>
      <c r="S8" t="str">
        <v>Var 3</v>
      </c>
      <c r="T8" t="str">
        <v>Inv 3</v>
      </c>
    </row>
    <row r="9" spans="1:20" x14ac:dyDescent="0.3">
      <c r="D9" s="54">
        <f t="shared" si="0"/>
        <v>2027</v>
      </c>
      <c r="F9" s="56">
        <v>36557</v>
      </c>
      <c r="K9" s="8" t="s">
        <v>164</v>
      </c>
      <c r="R9" t="str">
        <v>Fix 4</v>
      </c>
      <c r="S9" t="str">
        <v>Var 4</v>
      </c>
    </row>
    <row r="10" spans="1:20" x14ac:dyDescent="0.3">
      <c r="D10" s="54">
        <f t="shared" si="0"/>
        <v>2028</v>
      </c>
      <c r="F10" s="56">
        <v>36586</v>
      </c>
      <c r="K10" s="8"/>
      <c r="S10" t="str">
        <v>Var 5</v>
      </c>
    </row>
    <row r="11" spans="1:20" x14ac:dyDescent="0.3">
      <c r="D11" s="54">
        <f t="shared" si="0"/>
        <v>2029</v>
      </c>
      <c r="F11" s="56">
        <v>36617</v>
      </c>
    </row>
    <row r="12" spans="1:20" x14ac:dyDescent="0.3">
      <c r="D12" s="54">
        <f t="shared" si="0"/>
        <v>2030</v>
      </c>
      <c r="F12" s="56">
        <v>36647</v>
      </c>
    </row>
    <row r="13" spans="1:20" x14ac:dyDescent="0.3">
      <c r="D13" s="54">
        <f t="shared" si="0"/>
        <v>2031</v>
      </c>
      <c r="F13" s="56">
        <v>36678</v>
      </c>
    </row>
    <row r="14" spans="1:20" x14ac:dyDescent="0.3">
      <c r="D14" s="54">
        <f t="shared" si="0"/>
        <v>2032</v>
      </c>
      <c r="F14" s="56">
        <v>36708</v>
      </c>
    </row>
    <row r="15" spans="1:20" x14ac:dyDescent="0.3">
      <c r="D15" s="54">
        <f t="shared" si="0"/>
        <v>2033</v>
      </c>
      <c r="F15" s="56">
        <v>36739</v>
      </c>
    </row>
    <row r="16" spans="1:20" x14ac:dyDescent="0.3">
      <c r="D16" s="54">
        <f t="shared" si="0"/>
        <v>2034</v>
      </c>
      <c r="F16" s="56">
        <v>36770</v>
      </c>
    </row>
    <row r="17" spans="4:6" x14ac:dyDescent="0.3">
      <c r="D17" s="54">
        <f t="shared" si="0"/>
        <v>2035</v>
      </c>
      <c r="F17" s="56">
        <v>36800</v>
      </c>
    </row>
    <row r="18" spans="4:6" x14ac:dyDescent="0.3">
      <c r="D18" s="54">
        <f t="shared" si="0"/>
        <v>2036</v>
      </c>
      <c r="F18" s="56">
        <v>36831</v>
      </c>
    </row>
    <row r="19" spans="4:6" x14ac:dyDescent="0.3">
      <c r="D19" s="54">
        <f t="shared" si="0"/>
        <v>2037</v>
      </c>
      <c r="F19" s="56">
        <v>36861</v>
      </c>
    </row>
    <row r="20" spans="4:6" ht="15" customHeight="1" thickBot="1" x14ac:dyDescent="0.35">
      <c r="D20" s="54">
        <f t="shared" si="0"/>
        <v>2038</v>
      </c>
      <c r="F20" s="57"/>
    </row>
    <row r="21" spans="4:6" x14ac:dyDescent="0.3">
      <c r="D21" s="54">
        <f t="shared" si="0"/>
        <v>2039</v>
      </c>
    </row>
    <row r="22" spans="4:6" ht="15" customHeight="1" thickBot="1" x14ac:dyDescent="0.35">
      <c r="D22" s="55"/>
    </row>
    <row r="30" spans="4:6" x14ac:dyDescent="0.3">
      <c r="F30" s="128"/>
    </row>
  </sheetData>
  <mergeCells count="2">
    <mergeCell ref="A1:D3"/>
    <mergeCell ref="I5:L5"/>
  </mergeCells>
  <pageMargins left="0.7" right="0.7" top="0.78740157499999996" bottom="0.78740157499999996"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tabColor theme="1" tint="0.499984740745262"/>
  </sheetPr>
  <dimension ref="A1:AG115"/>
  <sheetViews>
    <sheetView zoomScale="115" zoomScaleNormal="115" workbookViewId="0">
      <selection activeCell="AA52" sqref="AA52"/>
    </sheetView>
  </sheetViews>
  <sheetFormatPr baseColWidth="10" defaultColWidth="10.6640625" defaultRowHeight="14.4" x14ac:dyDescent="0.3"/>
  <cols>
    <col min="2" max="2" width="4.109375" style="136" customWidth="1"/>
    <col min="3" max="3" width="22.6640625" style="136" bestFit="1" customWidth="1"/>
    <col min="4" max="4" width="24.109375" style="136" bestFit="1" customWidth="1"/>
    <col min="5" max="5" width="13.5546875" style="136" customWidth="1"/>
    <col min="6" max="6" width="13.44140625" style="136" bestFit="1" customWidth="1"/>
    <col min="7" max="7" width="11.33203125" style="136" bestFit="1" customWidth="1"/>
    <col min="8" max="8" width="14.44140625" style="136" bestFit="1" customWidth="1"/>
    <col min="9" max="9" width="15.88671875" style="136" bestFit="1" customWidth="1"/>
    <col min="10" max="15" width="14.109375" style="136" customWidth="1"/>
    <col min="16" max="16" width="15.88671875" style="136" bestFit="1" customWidth="1"/>
    <col min="17" max="17" width="13.33203125" style="136" customWidth="1"/>
    <col min="19" max="19" width="22.6640625" style="136" bestFit="1" customWidth="1"/>
    <col min="20" max="20" width="17.88671875" style="136" bestFit="1" customWidth="1"/>
    <col min="21" max="21" width="10.33203125" style="136" bestFit="1" customWidth="1"/>
    <col min="22" max="22" width="15.5546875" style="136" customWidth="1"/>
    <col min="23" max="23" width="15.44140625" style="136" bestFit="1" customWidth="1"/>
    <col min="24" max="24" width="14.33203125" style="136" bestFit="1" customWidth="1"/>
    <col min="25" max="25" width="11.44140625" style="136" bestFit="1" customWidth="1"/>
    <col min="26" max="26" width="5.5546875" style="136" bestFit="1" customWidth="1"/>
    <col min="27" max="27" width="20.88671875" style="136" bestFit="1" customWidth="1"/>
    <col min="28" max="28" width="16.6640625" style="136" bestFit="1" customWidth="1"/>
    <col min="29" max="29" width="8.6640625" style="136" bestFit="1" customWidth="1"/>
    <col min="30" max="30" width="13.6640625" style="136" bestFit="1" customWidth="1"/>
    <col min="31" max="31" width="5.5546875" style="136" bestFit="1" customWidth="1"/>
    <col min="32" max="32" width="6.44140625" style="136" bestFit="1" customWidth="1"/>
    <col min="33" max="33" width="15.88671875" style="136" bestFit="1" customWidth="1"/>
  </cols>
  <sheetData>
    <row r="1" spans="1:5" s="39" customFormat="1" ht="15" customHeight="1" x14ac:dyDescent="0.7">
      <c r="A1" s="172" t="s">
        <v>34</v>
      </c>
      <c r="B1" s="173"/>
      <c r="C1" s="173"/>
    </row>
    <row r="2" spans="1:5" s="39" customFormat="1" ht="15" customHeight="1" x14ac:dyDescent="0.7">
      <c r="A2" s="173"/>
      <c r="B2" s="173"/>
      <c r="C2" s="173"/>
    </row>
    <row r="3" spans="1:5" s="39" customFormat="1" ht="15" customHeight="1" x14ac:dyDescent="0.7">
      <c r="A3" s="173"/>
      <c r="B3" s="173"/>
      <c r="C3" s="173"/>
    </row>
    <row r="4" spans="1:5" ht="15" customHeight="1" thickBot="1" x14ac:dyDescent="0.35"/>
    <row r="5" spans="1:5" x14ac:dyDescent="0.3">
      <c r="B5" s="184" t="s">
        <v>35</v>
      </c>
      <c r="C5" s="176"/>
      <c r="D5" s="176"/>
      <c r="E5" s="177"/>
    </row>
    <row r="6" spans="1:5" x14ac:dyDescent="0.3">
      <c r="B6" s="1"/>
      <c r="E6" s="2"/>
    </row>
    <row r="7" spans="1:5" ht="15.6" customHeight="1" x14ac:dyDescent="0.3">
      <c r="B7" s="1"/>
      <c r="C7" s="49" t="s">
        <v>36</v>
      </c>
      <c r="D7" s="50">
        <f t="array" aca="1" ref="D7" ca="1">current_date</f>
        <v>46147</v>
      </c>
      <c r="E7" s="2"/>
    </row>
    <row r="8" spans="1:5" ht="15.6" customHeight="1" x14ac:dyDescent="0.3">
      <c r="B8" s="1"/>
      <c r="C8" s="49" t="s">
        <v>37</v>
      </c>
      <c r="D8" s="50">
        <f>MAX(Tracking[Datum])</f>
        <v>0</v>
      </c>
      <c r="E8" s="2"/>
    </row>
    <row r="9" spans="1:5" ht="15.6" customHeight="1" x14ac:dyDescent="0.3">
      <c r="B9" s="1"/>
      <c r="C9" s="49" t="s">
        <v>38</v>
      </c>
      <c r="D9" s="51" t="str">
        <f>IF(D8=0,"","("&amp;_xlfn.DAYS(D7,D8)&amp;" Tage her)")</f>
        <v/>
      </c>
      <c r="E9" s="2"/>
    </row>
    <row r="10" spans="1:5" ht="15.6" customHeight="1" x14ac:dyDescent="0.3">
      <c r="B10" s="1"/>
      <c r="C10" s="49" t="s">
        <v>39</v>
      </c>
      <c r="D10">
        <f>COUNT(Tracking[Datum])</f>
        <v>0</v>
      </c>
      <c r="E10" s="2"/>
    </row>
    <row r="11" spans="1:5" ht="15.6" customHeight="1" x14ac:dyDescent="0.3">
      <c r="B11" s="1"/>
      <c r="C11" s="49" t="s">
        <v>40</v>
      </c>
      <c r="D11" t="str">
        <f ca="1">"(" &amp; COUNTIFS(Tracking[Datum], "&gt;=" &amp; DATE(YEAR(TODAY()), 1, 1), Tracking[Datum], "&lt;=" &amp; DATE(YEAR(TODAY()), 12, 31)) &amp; " dieses Jahr)"</f>
        <v>(0 dieses Jahr)</v>
      </c>
      <c r="E11" s="2"/>
    </row>
    <row r="12" spans="1:5" ht="15.6" customHeight="1" x14ac:dyDescent="0.3">
      <c r="B12" s="1"/>
      <c r="C12" s="49" t="s">
        <v>41</v>
      </c>
      <c r="D12" s="52" t="str">
        <f>_xlfn.IFNA(INDEX(Tracking[Bilanz],MATCH(Calculations!D8,Tracking[Datum],0)),"-")</f>
        <v>-</v>
      </c>
      <c r="E12" s="2"/>
    </row>
    <row r="13" spans="1:5" ht="15.6" customHeight="1" x14ac:dyDescent="0.3">
      <c r="B13" s="1"/>
      <c r="C13" s="49" t="s">
        <v>42</v>
      </c>
      <c r="D13" s="8" t="str">
        <f>IF(D12&gt;=0,"Verfügbares Einkommen (noch nicht zugewiesen)","Geplante Ausgaben (nicht gedeckt)")</f>
        <v>Verfügbares Einkommen (noch nicht zugewiesen)</v>
      </c>
      <c r="E13" s="2"/>
    </row>
    <row r="14" spans="1:5" x14ac:dyDescent="0.3">
      <c r="B14" s="1"/>
      <c r="E14" s="2"/>
    </row>
    <row r="15" spans="1:5" ht="15" customHeight="1" thickBot="1" x14ac:dyDescent="0.35">
      <c r="B15" s="3"/>
      <c r="C15" s="4"/>
      <c r="D15" s="4"/>
      <c r="E15" s="5"/>
    </row>
    <row r="16" spans="1:5" ht="15" customHeight="1" thickBot="1" x14ac:dyDescent="0.35"/>
    <row r="17" spans="2:17" x14ac:dyDescent="0.3">
      <c r="B17" s="184" t="s">
        <v>43</v>
      </c>
      <c r="C17" s="176"/>
      <c r="D17" s="176"/>
      <c r="E17" s="177"/>
    </row>
    <row r="18" spans="2:17" x14ac:dyDescent="0.3">
      <c r="B18" s="65"/>
      <c r="C18" s="66"/>
      <c r="D18" s="66"/>
      <c r="E18" s="67"/>
    </row>
    <row r="19" spans="2:17" x14ac:dyDescent="0.3">
      <c r="B19" s="65"/>
      <c r="C19" s="68" t="s">
        <v>44</v>
      </c>
      <c r="D19" s="66">
        <f t="array" aca="1" ref="D19" ca="1">IF('Budget Dashboard'!$AQ$6="Aktuelles Jahr", YEAR(current_day),'Budget Dashboard'!$AQ$6)</f>
        <v>2026</v>
      </c>
      <c r="E19" s="67"/>
    </row>
    <row r="20" spans="2:17" x14ac:dyDescent="0.3">
      <c r="B20" s="65"/>
      <c r="C20" s="68" t="s">
        <v>45</v>
      </c>
      <c r="D20" s="62">
        <f t="array" aca="1" ref="D20:E20" ca="1">IF('Budget Dashboard'!AQ9:AR9="Jahresübersicht","Jahresübersicht", IF('Budget Dashboard'!AQ9:AR9="Aktueller Monat", MONTH(current_day),MONTH('Budget Dashboard'!AQ9:AR9)))</f>
        <v>5</v>
      </c>
      <c r="E20" s="2">
        <f ca="1"/>
        <v>1</v>
      </c>
    </row>
    <row r="21" spans="2:17" x14ac:dyDescent="0.3">
      <c r="B21" s="65"/>
      <c r="C21" s="68" t="s">
        <v>46</v>
      </c>
      <c r="D21" s="69" t="str">
        <f ca="1">IF(selected_period="Jahresübersicht", "Jahresübersicht", TEXT(DATE(selected_year,selected_period,1),"MMMM"))</f>
        <v>Mai</v>
      </c>
      <c r="E21" s="67"/>
    </row>
    <row r="22" spans="2:17" x14ac:dyDescent="0.3">
      <c r="B22" s="65"/>
      <c r="C22" s="68" t="s">
        <v>47</v>
      </c>
      <c r="D22" s="66">
        <f ca="1">IF(selected_period="Jahresübersicht",DATE(selected_year,12,31) - DATE(selected_year-1,12,31),DAY(EOMONTH(DATE(selected_year, selected_period, 1), 0)))</f>
        <v>31</v>
      </c>
      <c r="E22" s="67"/>
    </row>
    <row r="23" spans="2:17" x14ac:dyDescent="0.3">
      <c r="B23" s="65"/>
      <c r="C23" s="68" t="s">
        <v>48</v>
      </c>
      <c r="D23" s="66">
        <f t="array" aca="1" ref="D23" ca="1">IF(selected_year=YEAR(current_date),
  IF(selected_period="Jahresübersicht", current_date-DATE(selected_year-1,12,31),
   IF(selected_period=MONTH(current_date),DAY(current_date),
    IF(selected_period&lt;MONTH(current_date),D22,0))),
     IF(selected_year&lt;YEAR(current_date),D22,0))</f>
        <v>5</v>
      </c>
      <c r="E23" s="67"/>
    </row>
    <row r="24" spans="2:17" x14ac:dyDescent="0.3">
      <c r="B24" s="65"/>
      <c r="C24" s="68" t="s">
        <v>49</v>
      </c>
      <c r="D24" s="70">
        <f ca="1">D23/D22</f>
        <v>0.16129032258064516</v>
      </c>
      <c r="E24" s="67"/>
    </row>
    <row r="25" spans="2:17" ht="28.8" customHeight="1" x14ac:dyDescent="0.3">
      <c r="B25" s="65"/>
      <c r="C25" s="68" t="s">
        <v>50</v>
      </c>
      <c r="D25" s="71">
        <f ca="1">E40-(I40+M40+Q40)</f>
        <v>0</v>
      </c>
      <c r="E25" s="67"/>
      <c r="G25" s="127"/>
      <c r="H25" s="127"/>
    </row>
    <row r="26" spans="2:17" x14ac:dyDescent="0.3">
      <c r="B26" s="65"/>
      <c r="C26" s="68" t="s">
        <v>51</v>
      </c>
      <c r="D26" s="66" t="str">
        <f ca="1">IF(D25&gt;=0," of tracked income left to be allocated", "allocated not covered by income")</f>
        <v xml:space="preserve"> of tracked income left to be allocated</v>
      </c>
      <c r="E26" s="67"/>
    </row>
    <row r="27" spans="2:17" x14ac:dyDescent="0.3">
      <c r="B27" s="65"/>
      <c r="C27" s="68" t="s">
        <v>52</v>
      </c>
      <c r="D27" s="70" t="str">
        <f ca="1">IFERROR(IF(savings_rate_calculation_type="Aktiv", Q40/E40, (E40-(I40+M40))/E40),"-")</f>
        <v>-</v>
      </c>
      <c r="E27" s="67"/>
    </row>
    <row r="28" spans="2:17" ht="15" customHeight="1" thickBot="1" x14ac:dyDescent="0.35">
      <c r="B28" s="3"/>
      <c r="C28" s="4"/>
      <c r="D28" s="4"/>
      <c r="E28" s="5"/>
    </row>
    <row r="31" spans="2:17" ht="43.2" customHeight="1" x14ac:dyDescent="0.3">
      <c r="C31" s="104" t="s">
        <v>53</v>
      </c>
      <c r="D31" s="103"/>
      <c r="E31" s="103"/>
      <c r="F31" s="103"/>
      <c r="G31" s="103"/>
      <c r="H31" s="103"/>
      <c r="I31" s="103"/>
      <c r="J31" s="103"/>
      <c r="K31" s="103"/>
      <c r="L31" s="103"/>
      <c r="M31" s="103"/>
      <c r="N31" s="103"/>
      <c r="O31" s="103"/>
      <c r="P31" s="103"/>
      <c r="Q31" s="103"/>
    </row>
    <row r="33" spans="3:17" x14ac:dyDescent="0.3">
      <c r="C33" s="105" t="s">
        <v>31</v>
      </c>
      <c r="D33" s="105" t="s">
        <v>4</v>
      </c>
      <c r="E33" s="105" t="s">
        <v>1</v>
      </c>
      <c r="G33" s="105" t="s">
        <v>8</v>
      </c>
      <c r="H33" s="105" t="s">
        <v>4</v>
      </c>
      <c r="I33" s="105" t="s">
        <v>1</v>
      </c>
      <c r="K33" s="105" t="s">
        <v>9</v>
      </c>
      <c r="L33" s="105" t="s">
        <v>4</v>
      </c>
      <c r="M33" s="105" t="s">
        <v>1</v>
      </c>
      <c r="O33" s="105" t="s">
        <v>12</v>
      </c>
      <c r="P33" s="105" t="s">
        <v>4</v>
      </c>
      <c r="Q33" s="105" t="s">
        <v>1</v>
      </c>
    </row>
    <row r="34" spans="3:17" x14ac:dyDescent="0.3">
      <c r="C34" s="106">
        <v>1</v>
      </c>
      <c r="D34" s="106" t="str">
        <f t="array" aca="1" ref="D34" ca="1">IF(E34="","",INDEX('Budget Dashboard'!J:J, MATCH(Einkommen_Header_Row + Calculations!C34,'Budget Dashboard'!$X:$X,0)))</f>
        <v/>
      </c>
      <c r="E34" s="107" t="str">
        <f t="array" aca="1" ref="E34" ca="1">IF(C34&gt;COUNTA(Income[]),"",
  IF(INDEX('Budget Dashboard'!$K:$K, MATCH(Einkommen_Header_Row + Calculations!C34,'Budget Dashboard'!$X:$X,0))=0,"",
   INDEX('Budget Dashboard'!$K:$K, MATCH(Einkommen_Header_Row + Calculations!C34,'Budget Dashboard'!$X:$X,0))))</f>
        <v/>
      </c>
      <c r="G34" s="106">
        <v>1</v>
      </c>
      <c r="H34" s="106" t="str">
        <f t="array" aca="1" ref="H34" ca="1">IF(I34="","",INDEX('Budget Dashboard'!J:J, MATCH(Fixkosten_Header_Row + Calculations!C34,'Budget Dashboard'!$X:$X,0)))</f>
        <v/>
      </c>
      <c r="I34" s="107" t="str">
        <f t="array" aca="1" ref="I34" ca="1">IF(G34&gt;COUNTA(FixedCosts[]),"",
  IF(INDEX('Budget Dashboard'!$K:$K, MATCH(Fixkosten_Header_Row + Calculations!G34,'Budget Dashboard'!$X:$X,0))=0,"",
   INDEX('Budget Dashboard'!$K:$K, MATCH(Fixkosten_Header_Row + Calculations!G34,'Budget Dashboard'!$X:$X,0))))</f>
        <v/>
      </c>
      <c r="K34" s="106">
        <v>1</v>
      </c>
      <c r="L34" s="106" t="str">
        <f t="array" aca="1" ref="L34" ca="1">IF(M34="","",INDEX('Budget Dashboard'!J:J, MATCH(Variablekosten_Header_Row + Calculations!C34,'Budget Dashboard'!$X:$X,0)))</f>
        <v/>
      </c>
      <c r="M34" s="107" t="str">
        <f t="array" aca="1" ref="M34" ca="1">IF(K34&gt;COUNTA(VariableCosts[]),"",
  IF(INDEX('Budget Dashboard'!$K:$K, MATCH(Variablekosten_Header_Row + Calculations!K34,'Budget Dashboard'!$X:$X,0))=0,"",
   INDEX('Budget Dashboard'!$K:$K, MATCH(Variablekosten_Header_Row + Calculations!K34,'Budget Dashboard'!$X:$X,0))))</f>
        <v/>
      </c>
      <c r="O34" s="106">
        <v>1</v>
      </c>
      <c r="P34" s="106" t="str">
        <f t="array" aca="1" ref="P34" ca="1">IF(Q34="","",INDEX('Budget Dashboard'!J:J, MATCH(Investment_Header_Row + Calculations!C34,'Budget Dashboard'!$X:$X,0)))</f>
        <v/>
      </c>
      <c r="Q34" s="107" t="str">
        <f t="array" aca="1" ref="Q34" ca="1">IF(O34&gt;COUNTA(Investment[]),"",
  IF(INDEX('Budget Dashboard'!$K:$K, MATCH(Investment_Header_Row + Calculations!O34,'Budget Dashboard'!$X:$X,0))=0,"",
   INDEX('Budget Dashboard'!$K:$K, MATCH(Investment_Header_Row + Calculations!O34,'Budget Dashboard'!$X:$X,0))))</f>
        <v/>
      </c>
    </row>
    <row r="35" spans="3:17" x14ac:dyDescent="0.3">
      <c r="C35" s="106">
        <v>2</v>
      </c>
      <c r="D35" s="106" t="str">
        <f t="array" aca="1" ref="D35" ca="1">IF(E35="","",INDEX('Budget Dashboard'!J:J, MATCH(Einkommen_Header_Row + Calculations!C35,'Budget Dashboard'!$X:$X,0)))</f>
        <v/>
      </c>
      <c r="E35" s="107" t="str">
        <f t="array" aca="1" ref="E35" ca="1">IF(C35&gt;COUNTA(Income[]),"",
  IF(INDEX('Budget Dashboard'!$K:$K, MATCH(Einkommen_Header_Row + Calculations!C35,'Budget Dashboard'!$X:$X,0))=0,"",
   INDEX('Budget Dashboard'!$K:$K, MATCH(Einkommen_Header_Row + Calculations!C35,'Budget Dashboard'!$X:$X,0))))</f>
        <v/>
      </c>
      <c r="G35" s="106">
        <v>2</v>
      </c>
      <c r="H35" s="106" t="str">
        <f t="array" aca="1" ref="H35" ca="1">IF(I35="","",INDEX('Budget Dashboard'!J:J, MATCH(Fixkosten_Header_Row + Calculations!C35,'Budget Dashboard'!$X:$X,0)))</f>
        <v/>
      </c>
      <c r="I35" s="107" t="str">
        <f t="array" aca="1" ref="I35" ca="1">IF(G35&gt;COUNTA(FixedCosts[]),"",
  IF(INDEX('Budget Dashboard'!$K:$K, MATCH(Fixkosten_Header_Row + Calculations!G35,'Budget Dashboard'!$X:$X,0))=0,"",
   INDEX('Budget Dashboard'!$K:$K, MATCH(Fixkosten_Header_Row + Calculations!G35,'Budget Dashboard'!$X:$X,0))))</f>
        <v/>
      </c>
      <c r="K35" s="106">
        <v>2</v>
      </c>
      <c r="L35" s="106" t="str">
        <f t="array" aca="1" ref="L35" ca="1">IF(M35="","",INDEX('Budget Dashboard'!J:J, MATCH(Variablekosten_Header_Row + Calculations!C35,'Budget Dashboard'!$X:$X,0)))</f>
        <v/>
      </c>
      <c r="M35" s="107" t="str">
        <f t="array" aca="1" ref="M35" ca="1">IF(K35&gt;COUNTA(VariableCosts[]),"",
  IF(INDEX('Budget Dashboard'!$K:$K, MATCH(Variablekosten_Header_Row + Calculations!K35,'Budget Dashboard'!$X:$X,0))=0,"",
   INDEX('Budget Dashboard'!$K:$K, MATCH(Variablekosten_Header_Row + Calculations!K35,'Budget Dashboard'!$X:$X,0))))</f>
        <v/>
      </c>
      <c r="O35" s="106">
        <v>2</v>
      </c>
      <c r="P35" s="106" t="str">
        <f t="array" aca="1" ref="P35" ca="1">IF(Q35="","",INDEX('Budget Dashboard'!J:J, MATCH(Investment_Header_Row + Calculations!C35,'Budget Dashboard'!$X:$X,0)))</f>
        <v/>
      </c>
      <c r="Q35" s="107" t="str">
        <f t="array" aca="1" ref="Q35" ca="1">IF(O35&gt;COUNTA(Investment[]),"",
  IF(INDEX('Budget Dashboard'!$K:$K, MATCH(Investment_Header_Row + Calculations!O35,'Budget Dashboard'!$X:$X,0))=0,"",
   INDEX('Budget Dashboard'!$K:$K, MATCH(Investment_Header_Row + Calculations!O35,'Budget Dashboard'!$X:$X,0))))</f>
        <v/>
      </c>
    </row>
    <row r="36" spans="3:17" x14ac:dyDescent="0.3">
      <c r="C36" s="106">
        <v>3</v>
      </c>
      <c r="D36" s="106" t="str">
        <f t="array" aca="1" ref="D36" ca="1">IF(E36="","",INDEX('Budget Dashboard'!J:J, MATCH(Einkommen_Header_Row + Calculations!C36,'Budget Dashboard'!$X:$X,0)))</f>
        <v/>
      </c>
      <c r="E36" s="107" t="str">
        <f t="array" aca="1" ref="E36" ca="1">IF(C36&gt;COUNTA(Income[]),"",
  IF(INDEX('Budget Dashboard'!$K:$K, MATCH(Einkommen_Header_Row + Calculations!C36,'Budget Dashboard'!$X:$X,0))=0,"",
   INDEX('Budget Dashboard'!$K:$K, MATCH(Einkommen_Header_Row + Calculations!C36,'Budget Dashboard'!$X:$X,0))))</f>
        <v/>
      </c>
      <c r="G36" s="106">
        <v>3</v>
      </c>
      <c r="H36" s="106" t="str">
        <f t="array" aca="1" ref="H36" ca="1">IF(I36="","",INDEX('Budget Dashboard'!J:J, MATCH(Fixkosten_Header_Row + Calculations!C36,'Budget Dashboard'!$X:$X,0)))</f>
        <v/>
      </c>
      <c r="I36" s="107" t="str">
        <f t="array" aca="1" ref="I36" ca="1">IF(G36&gt;COUNTA(FixedCosts[]),"",
  IF(INDEX('Budget Dashboard'!$K:$K, MATCH(Fixkosten_Header_Row + Calculations!G36,'Budget Dashboard'!$X:$X,0))=0,"",
   INDEX('Budget Dashboard'!$K:$K, MATCH(Fixkosten_Header_Row + Calculations!G36,'Budget Dashboard'!$X:$X,0))))</f>
        <v/>
      </c>
      <c r="K36" s="106">
        <v>3</v>
      </c>
      <c r="L36" s="106" t="str">
        <f t="array" aca="1" ref="L36" ca="1">IF(M36="","",INDEX('Budget Dashboard'!J:J, MATCH(Variablekosten_Header_Row + Calculations!C36,'Budget Dashboard'!$X:$X,0)))</f>
        <v/>
      </c>
      <c r="M36" s="107" t="str">
        <f t="array" aca="1" ref="M36" ca="1">IF(K36&gt;COUNTA(VariableCosts[]),"",
  IF(INDEX('Budget Dashboard'!$K:$K, MATCH(Variablekosten_Header_Row + Calculations!K36,'Budget Dashboard'!$X:$X,0))=0,"",
   INDEX('Budget Dashboard'!$K:$K, MATCH(Variablekosten_Header_Row + Calculations!K36,'Budget Dashboard'!$X:$X,0))))</f>
        <v/>
      </c>
      <c r="O36" s="106">
        <v>3</v>
      </c>
      <c r="P36" s="106" t="str">
        <f t="array" aca="1" ref="P36" ca="1">IF(Q36="","",INDEX('Budget Dashboard'!J:J, MATCH(Investment_Header_Row + Calculations!C36,'Budget Dashboard'!$X:$X,0)))</f>
        <v/>
      </c>
      <c r="Q36" s="107" t="str">
        <f t="array" aca="1" ref="Q36" ca="1">IF(O36&gt;COUNTA(Investment[]),"",
  IF(INDEX('Budget Dashboard'!$K:$K, MATCH(Investment_Header_Row + Calculations!O36,'Budget Dashboard'!$X:$X,0))=0,"",
   INDEX('Budget Dashboard'!$K:$K, MATCH(Investment_Header_Row + Calculations!O36,'Budget Dashboard'!$X:$X,0))))</f>
        <v/>
      </c>
    </row>
    <row r="37" spans="3:17" x14ac:dyDescent="0.3">
      <c r="C37" s="106">
        <v>4</v>
      </c>
      <c r="D37" s="106" t="str">
        <f t="array" ref="D37">IF(E37="","",INDEX('Budget Dashboard'!J:J, MATCH(Einkommen_Header_Row + Calculations!C37,'Budget Dashboard'!$X:$X,0)))</f>
        <v/>
      </c>
      <c r="E37" s="107" t="str">
        <f t="array" ref="E37">IF(C37&gt;COUNTA(Income[]),"",
  IF(INDEX('Budget Dashboard'!$K:$K, MATCH(Einkommen_Header_Row + Calculations!C37,'Budget Dashboard'!$X:$X,0))=0,"",
   INDEX('Budget Dashboard'!$K:$K, MATCH(Einkommen_Header_Row + Calculations!C37,'Budget Dashboard'!$X:$X,0))))</f>
        <v/>
      </c>
      <c r="G37" s="106">
        <v>4</v>
      </c>
      <c r="H37" s="106" t="str">
        <f t="array" aca="1" ref="H37" ca="1">IF(I37="","",INDEX('Budget Dashboard'!J:J, MATCH(Fixkosten_Header_Row + Calculations!C37,'Budget Dashboard'!$X:$X,0)))</f>
        <v/>
      </c>
      <c r="I37" s="107" t="str">
        <f t="array" aca="1" ref="I37" ca="1">IF(G37&gt;COUNTA(FixedCosts[]),"",
  IF(INDEX('Budget Dashboard'!$K:$K, MATCH(Fixkosten_Header_Row + Calculations!G37,'Budget Dashboard'!$X:$X,0))=0,"",
   INDEX('Budget Dashboard'!$K:$K, MATCH(Fixkosten_Header_Row + Calculations!G37,'Budget Dashboard'!$X:$X,0))))</f>
        <v/>
      </c>
      <c r="K37" s="106">
        <v>4</v>
      </c>
      <c r="L37" s="106" t="str">
        <f t="array" aca="1" ref="L37" ca="1">IF(M37="","",INDEX('Budget Dashboard'!J:J, MATCH(Variablekosten_Header_Row + Calculations!C37,'Budget Dashboard'!$X:$X,0)))</f>
        <v/>
      </c>
      <c r="M37" s="107" t="str">
        <f t="array" aca="1" ref="M37" ca="1">IF(K37&gt;COUNTA(VariableCosts[]),"",
  IF(INDEX('Budget Dashboard'!$K:$K, MATCH(Variablekosten_Header_Row + Calculations!K37,'Budget Dashboard'!$X:$X,0))=0,"",
   INDEX('Budget Dashboard'!$K:$K, MATCH(Variablekosten_Header_Row + Calculations!K37,'Budget Dashboard'!$X:$X,0))))</f>
        <v/>
      </c>
      <c r="O37" s="106">
        <v>4</v>
      </c>
      <c r="P37" s="106" t="str">
        <f t="array" ref="P37">IF(Q37="","",INDEX('Budget Dashboard'!J:J, MATCH(Investment_Header_Row + Calculations!C37,'Budget Dashboard'!$X:$X,0)))</f>
        <v/>
      </c>
      <c r="Q37" s="107" t="str">
        <f t="array" ref="Q37">IF(O37&gt;COUNTA(Investment[]),"",
  IF(INDEX('Budget Dashboard'!$K:$K, MATCH(Investment_Header_Row + Calculations!O37,'Budget Dashboard'!$X:$X,0))=0,"",
   INDEX('Budget Dashboard'!$K:$K, MATCH(Investment_Header_Row + Calculations!O37,'Budget Dashboard'!$X:$X,0))))</f>
        <v/>
      </c>
    </row>
    <row r="38" spans="3:17" x14ac:dyDescent="0.3">
      <c r="C38" s="106">
        <v>5</v>
      </c>
      <c r="D38" s="106" t="str">
        <f t="array" ref="D38">IF(E38="","",INDEX('Budget Dashboard'!J:J, MATCH(Einkommen_Header_Row + Calculations!C38,'Budget Dashboard'!$X:$X,0)))</f>
        <v/>
      </c>
      <c r="E38" s="107" t="str">
        <f t="array" ref="E38">IF(C38&gt;COUNTA(Income[]),"",
  IF(INDEX('Budget Dashboard'!$K:$K, MATCH(Einkommen_Header_Row + Calculations!C38,'Budget Dashboard'!$X:$X,0))=0,"",
   INDEX('Budget Dashboard'!$K:$K, MATCH(Einkommen_Header_Row + Calculations!C38,'Budget Dashboard'!$X:$X,0))))</f>
        <v/>
      </c>
      <c r="G38" s="106">
        <v>5</v>
      </c>
      <c r="H38" s="106" t="str">
        <f t="array" ref="H38">IF(I38="","",INDEX('Budget Dashboard'!J:J, MATCH(Fixkosten_Header_Row + Calculations!C38,'Budget Dashboard'!$X:$X,0)))</f>
        <v/>
      </c>
      <c r="I38" s="106" t="str">
        <f t="array" ref="I38">IF(G38&gt;COUNTA(FixedCosts[]),"",
  IF(INDEX('Budget Dashboard'!$K:$K, MATCH(Fixkosten_Header_Row + Calculations!G38,'Budget Dashboard'!$X:$X,0))=0,"",
   INDEX('Budget Dashboard'!$K:$K, MATCH(Fixkosten_Header_Row + Calculations!G38,'Budget Dashboard'!$X:$X,0))))</f>
        <v/>
      </c>
      <c r="K38" s="106">
        <v>5</v>
      </c>
      <c r="L38" s="106" t="str">
        <f t="array" aca="1" ref="L38" ca="1">IF(M38="","",INDEX('Budget Dashboard'!J:J, MATCH(Variablekosten_Header_Row + Calculations!C38,'Budget Dashboard'!$X:$X,0)))</f>
        <v/>
      </c>
      <c r="M38" s="107" t="str">
        <f t="array" aca="1" ref="M38" ca="1">IF(K38&gt;COUNTA(VariableCosts[]),"",
  IF(INDEX('Budget Dashboard'!$K:$K, MATCH(Variablekosten_Header_Row + Calculations!K38,'Budget Dashboard'!$X:$X,0))=0,"",
   INDEX('Budget Dashboard'!$K:$K, MATCH(Variablekosten_Header_Row + Calculations!K38,'Budget Dashboard'!$X:$X,0))))</f>
        <v/>
      </c>
      <c r="O38" s="106">
        <v>5</v>
      </c>
      <c r="P38" s="106" t="str">
        <f t="array" ref="P38">IF(Q38="","",INDEX('Budget Dashboard'!J:J, MATCH(Investment_Header_Row + Calculations!C38,'Budget Dashboard'!$X:$X,0)))</f>
        <v/>
      </c>
      <c r="Q38" s="107" t="str">
        <f t="array" ref="Q38">IF(O38&gt;COUNTA(Investment[]),"",
  IF(INDEX('Budget Dashboard'!$K:$K, MATCH(Investment_Header_Row + Calculations!O38,'Budget Dashboard'!$X:$X,0))=0,"",
   INDEX('Budget Dashboard'!$K:$K, MATCH(Investment_Header_Row + Calculations!O38,'Budget Dashboard'!$X:$X,0))))</f>
        <v/>
      </c>
    </row>
    <row r="39" spans="3:17" ht="15" customHeight="1" thickBot="1" x14ac:dyDescent="0.35">
      <c r="C39" s="111">
        <v>6</v>
      </c>
      <c r="D39" s="111" t="str">
        <f ca="1">IF(E39="","","Other")</f>
        <v/>
      </c>
      <c r="E39" s="117" t="str">
        <f ca="1">IF(E40-SUM(E34:E38)=0,"",E40-SUM(E34:E38))</f>
        <v/>
      </c>
      <c r="G39" s="111">
        <v>6</v>
      </c>
      <c r="H39" s="111" t="str">
        <f>IF(I39="","","Other")</f>
        <v/>
      </c>
      <c r="I39" s="111" t="str">
        <f t="array" ref="I39">IF(G39&gt;COUNTA(FixedCosts[]),"",
  IF(INDEX('Budget Dashboard'!$K:$K, MATCH(Fixkosten_Header_Row + Calculations!G39,'Budget Dashboard'!$X:$X,0))=0,"",
   INDEX('Budget Dashboard'!$K:$K, MATCH(Fixkosten_Header_Row + Calculations!G39,'Budget Dashboard'!$X:$X,0))))</f>
        <v/>
      </c>
      <c r="K39" s="111">
        <v>6</v>
      </c>
      <c r="L39" s="111" t="str">
        <f>IF(M39="","","Other")</f>
        <v/>
      </c>
      <c r="M39" s="111" t="str">
        <f t="array" ref="M39">IF(K39&gt;COUNTA(VariableCosts[]),"",
  IF(INDEX('Budget Dashboard'!$K:$K, MATCH(Variablekosten_Header_Row + Calculations!K39,'Budget Dashboard'!$X:$X,0))=0,"",
   INDEX('Budget Dashboard'!$K:$K, MATCH(Variablekosten_Header_Row + Calculations!K39,'Budget Dashboard'!$X:$X,0))))</f>
        <v/>
      </c>
      <c r="O39" s="111">
        <v>6</v>
      </c>
      <c r="P39" s="111" t="str">
        <f>IF(Q39="","","Other")</f>
        <v/>
      </c>
      <c r="Q39" s="111" t="str">
        <f t="array" ref="Q39">IF(O39&gt;COUNTA(Investment[]),"",
  IF(INDEX('Budget Dashboard'!$K:$K, MATCH(Investment_Header_Row + Calculations!O39,'Budget Dashboard'!$X:$X,0))=0,"",
   INDEX('Budget Dashboard'!$K:$K, MATCH(Investment_Header_Row + Calculations!O39,'Budget Dashboard'!$X:$X,0))))</f>
        <v/>
      </c>
    </row>
    <row r="40" spans="3:17" ht="15" customHeight="1" thickTop="1" x14ac:dyDescent="0.3">
      <c r="C40" s="108"/>
      <c r="D40" s="109" t="s">
        <v>54</v>
      </c>
      <c r="E40" s="110">
        <f t="array" aca="1" ref="E40" ca="1">INDEX('Budget Dashboard'!$K:$K, MATCH(income_total_row,'Budget Dashboard'!$X:$X,0))</f>
        <v>0</v>
      </c>
      <c r="G40" s="108"/>
      <c r="H40" s="109" t="s">
        <v>54</v>
      </c>
      <c r="I40" s="116">
        <f t="array" aca="1" ref="I40" ca="1">INDEX('Budget Dashboard'!$K:$K, MATCH(fixed_costs_total_row,'Budget Dashboard'!$X:$X,0))</f>
        <v>0</v>
      </c>
      <c r="K40" s="108"/>
      <c r="L40" s="109" t="s">
        <v>54</v>
      </c>
      <c r="M40" s="110">
        <f t="array" aca="1" ref="M40" ca="1">INDEX('Budget Dashboard'!$K:$K, MATCH(variable_costs_total_row,'Budget Dashboard'!$X:$X,0))</f>
        <v>0</v>
      </c>
      <c r="O40" s="108"/>
      <c r="P40" s="109" t="s">
        <v>54</v>
      </c>
      <c r="Q40" s="110">
        <f t="array" aca="1" ref="Q40" ca="1">INDEX('Budget Dashboard'!$K:$K, MATCH(investment_total_row,'Budget Dashboard'!$X:$X,0))</f>
        <v>0</v>
      </c>
    </row>
    <row r="43" spans="3:17" ht="43.2" customHeight="1" x14ac:dyDescent="0.3">
      <c r="C43" s="124" t="s">
        <v>55</v>
      </c>
      <c r="D43" s="118"/>
      <c r="E43" s="118"/>
      <c r="F43" s="118"/>
      <c r="G43" s="118"/>
      <c r="H43" s="118"/>
      <c r="I43" s="118"/>
      <c r="J43" s="118"/>
      <c r="K43" s="118"/>
      <c r="L43" s="118"/>
      <c r="M43" s="118"/>
      <c r="N43" s="118"/>
      <c r="O43" s="118"/>
      <c r="P43" s="118"/>
      <c r="Q43" s="118"/>
    </row>
    <row r="44" spans="3:17" x14ac:dyDescent="0.3">
      <c r="C44" s="66"/>
      <c r="D44" s="66"/>
      <c r="E44" s="66"/>
      <c r="F44" s="66"/>
      <c r="G44" s="66"/>
      <c r="H44" s="66"/>
      <c r="I44" s="66"/>
      <c r="J44" s="66"/>
      <c r="K44" s="66"/>
      <c r="L44" s="66"/>
      <c r="M44" s="66"/>
      <c r="N44" s="66"/>
      <c r="O44" s="66"/>
      <c r="P44" s="66"/>
      <c r="Q44" s="66"/>
    </row>
    <row r="45" spans="3:17" x14ac:dyDescent="0.3">
      <c r="C45" s="68" t="s">
        <v>56</v>
      </c>
      <c r="D45" s="106" t="b">
        <v>1</v>
      </c>
      <c r="E45" s="66"/>
      <c r="F45" s="66"/>
      <c r="G45" s="66"/>
      <c r="H45" s="66"/>
      <c r="I45" s="66"/>
      <c r="J45" s="66"/>
      <c r="K45" s="66"/>
      <c r="L45" s="66"/>
      <c r="M45" s="66"/>
      <c r="N45" s="66"/>
      <c r="O45" s="66"/>
      <c r="P45" s="66"/>
      <c r="Q45" s="66"/>
    </row>
    <row r="46" spans="3:17" x14ac:dyDescent="0.3">
      <c r="C46" s="68" t="s">
        <v>57</v>
      </c>
      <c r="D46" s="106" t="b">
        <v>1</v>
      </c>
      <c r="E46" s="66"/>
      <c r="F46" s="66"/>
      <c r="G46" s="66"/>
      <c r="H46" s="66"/>
      <c r="I46" s="66"/>
      <c r="J46" s="66"/>
      <c r="K46" s="66"/>
      <c r="L46" s="66"/>
      <c r="M46" s="66"/>
      <c r="N46" s="66"/>
      <c r="O46" s="66"/>
      <c r="P46" s="66"/>
      <c r="Q46" s="66"/>
    </row>
    <row r="47" spans="3:17" x14ac:dyDescent="0.3">
      <c r="C47" s="68" t="s">
        <v>58</v>
      </c>
      <c r="D47" s="106" t="b">
        <v>1</v>
      </c>
      <c r="E47" s="66"/>
      <c r="F47" s="66"/>
      <c r="G47" s="66"/>
      <c r="H47" s="66"/>
      <c r="I47" s="66"/>
      <c r="J47" s="66"/>
      <c r="K47" s="66"/>
      <c r="L47" s="66"/>
      <c r="M47" s="66"/>
      <c r="N47" s="66"/>
      <c r="O47" s="66"/>
      <c r="P47" s="66"/>
      <c r="Q47" s="66"/>
    </row>
    <row r="48" spans="3:17" x14ac:dyDescent="0.3">
      <c r="C48" s="68" t="s">
        <v>59</v>
      </c>
      <c r="D48" s="106" t="b">
        <v>1</v>
      </c>
      <c r="E48" s="66"/>
      <c r="F48" s="66"/>
      <c r="G48" s="66"/>
      <c r="H48" s="66"/>
      <c r="I48" s="66"/>
      <c r="J48" s="66"/>
      <c r="K48" s="66"/>
      <c r="L48" s="66"/>
      <c r="M48" s="66"/>
      <c r="N48" s="66"/>
      <c r="O48" s="66"/>
      <c r="P48" s="66"/>
      <c r="Q48" s="66"/>
    </row>
    <row r="49" spans="3:33" x14ac:dyDescent="0.3">
      <c r="C49" s="68" t="s">
        <v>60</v>
      </c>
      <c r="D49" s="66" t="b">
        <v>1</v>
      </c>
      <c r="E49" s="66"/>
      <c r="F49" s="66"/>
      <c r="G49" s="66"/>
      <c r="H49" s="66"/>
      <c r="I49" s="66"/>
      <c r="J49" s="66"/>
      <c r="K49" s="66"/>
      <c r="L49" s="66"/>
      <c r="M49" s="66"/>
      <c r="N49" s="66"/>
      <c r="O49" s="66"/>
      <c r="P49" s="66"/>
      <c r="Q49" s="66"/>
    </row>
    <row r="50" spans="3:33" ht="28.8" customHeight="1" x14ac:dyDescent="0.3">
      <c r="C50" s="66"/>
      <c r="D50" s="66"/>
      <c r="E50" s="66"/>
      <c r="F50" s="66"/>
      <c r="G50" s="66"/>
      <c r="H50" s="66"/>
      <c r="I50" s="66"/>
      <c r="J50" s="66"/>
      <c r="K50" s="66"/>
      <c r="L50" s="181" t="s">
        <v>61</v>
      </c>
      <c r="M50" s="179"/>
      <c r="N50" s="179"/>
      <c r="O50" s="180" t="s">
        <v>62</v>
      </c>
      <c r="P50" s="179"/>
      <c r="Q50" s="179"/>
      <c r="S50" s="124" t="s">
        <v>63</v>
      </c>
      <c r="T50" s="124"/>
      <c r="U50" s="124"/>
      <c r="V50" s="124"/>
      <c r="W50" s="124"/>
      <c r="X50" s="124"/>
      <c r="Y50" s="124"/>
      <c r="AA50" s="124" t="s">
        <v>160</v>
      </c>
      <c r="AB50" s="124"/>
      <c r="AC50" s="124"/>
      <c r="AD50" s="124"/>
      <c r="AE50" s="124"/>
      <c r="AF50" s="124"/>
      <c r="AG50" s="124"/>
    </row>
    <row r="51" spans="3:33" s="125" customFormat="1" x14ac:dyDescent="0.3">
      <c r="C51" s="119" t="s">
        <v>64</v>
      </c>
      <c r="D51" s="119" t="s">
        <v>3</v>
      </c>
      <c r="E51" s="119" t="s">
        <v>65</v>
      </c>
      <c r="F51" s="119" t="s">
        <v>66</v>
      </c>
      <c r="G51" s="119" t="s">
        <v>67</v>
      </c>
      <c r="H51" s="119" t="s">
        <v>68</v>
      </c>
      <c r="I51" s="119" t="s">
        <v>69</v>
      </c>
      <c r="J51" s="119" t="s">
        <v>70</v>
      </c>
      <c r="K51" s="119" t="s">
        <v>71</v>
      </c>
      <c r="L51" s="120" t="s">
        <v>72</v>
      </c>
      <c r="M51" s="119" t="s">
        <v>73</v>
      </c>
      <c r="N51" s="119" t="s">
        <v>74</v>
      </c>
      <c r="O51" s="120" t="s">
        <v>72</v>
      </c>
      <c r="P51" s="119" t="s">
        <v>73</v>
      </c>
      <c r="Q51" s="119" t="s">
        <v>74</v>
      </c>
      <c r="S51"/>
      <c r="T51"/>
      <c r="U51"/>
      <c r="V51"/>
      <c r="W51"/>
      <c r="X51"/>
      <c r="Y51"/>
    </row>
    <row r="52" spans="3:33" ht="28.8" customHeight="1" x14ac:dyDescent="0.3">
      <c r="C52" s="178">
        <f ca="1">DATE(selected_year,1,1)</f>
        <v>46023</v>
      </c>
      <c r="D52" s="106" t="s">
        <v>31</v>
      </c>
      <c r="E52" s="106">
        <f ca="1">MONTH(C52)</f>
        <v>1</v>
      </c>
      <c r="F52" s="106">
        <f ca="1">IF(selected_period="Jahresübersicht", 1, IF(selected_period=cc_month_number,1,0))</f>
        <v>0</v>
      </c>
      <c r="G52" s="106">
        <f>1*$D$45</f>
        <v>1</v>
      </c>
      <c r="H52" s="106">
        <f>1*$D$49</f>
        <v>1</v>
      </c>
      <c r="I52" s="121">
        <f t="array" aca="1" ref="I52" ca="1">SUM(Tracking[Betrag]*(Tracking[Type]=cc_type)*(YEAR(Tracking[Effektiv Datum])=selected_year)*(MONTH(Tracking[Effektiv Datum])=cc_month_number))</f>
        <v>0</v>
      </c>
      <c r="J52" s="107">
        <f t="array" aca="1" ref="J52" ca="1">INDEX('Budget Planning'!$E:$FA,income_total_row,MATCH(DATE(selected_year,cc_month_number,1),'Budget Planning'!$E$9:$FA$9,0))</f>
        <v>0</v>
      </c>
      <c r="K52" s="107">
        <f ca="1">cc_budget-cc_tracked</f>
        <v>0</v>
      </c>
      <c r="L52" s="122">
        <f ca="1">cc_in_focus * cc_show_type * MIN(cc_tracked,cc_budget)</f>
        <v>0</v>
      </c>
      <c r="M52" s="122">
        <f ca="1">cc_in_focus * cc_show_type * cc_show_remaining_budget * IF(cc_delta&gt;0,cc_delta,0)</f>
        <v>0</v>
      </c>
      <c r="N52" s="122">
        <f ca="1">cc_in_focus * cc_show_type * IF(cc_delta&lt;0,ABS(cc_delta),0)</f>
        <v>0</v>
      </c>
      <c r="O52" s="122">
        <f ca="1">NOT(cc_in_focus) * cc_show_type * MIN(cc_tracked,cc_budget)</f>
        <v>0</v>
      </c>
      <c r="P52" s="122">
        <f ca="1">NOT(cc_in_focus) * cc_show_type * cc_show_remaining_budget * IF(cc_delta&gt;0,cc_delta,0)</f>
        <v>0</v>
      </c>
      <c r="Q52" s="122">
        <f ca="1">NOT(cc_in_focus) * cc_show_type * IF(cc_delta&lt;0,ABS(cc_delta),0)</f>
        <v>0</v>
      </c>
      <c r="S52" s="129" t="e" cm="1">
        <f t="array" ref="S52">_xlfn.PIVOTBY(YEAR(Tracking[Datum]), Tracking[Type], Tracking[Betrag], _xleta.SUM)</f>
        <v>#VALUE!</v>
      </c>
      <c r="T52" s="129"/>
      <c r="U52" s="129"/>
      <c r="V52" s="129"/>
      <c r="W52" s="129"/>
      <c r="X52" s="129"/>
      <c r="Y52" s="129"/>
      <c r="AA52" s="125" t="s">
        <v>5</v>
      </c>
      <c r="AB52" s="125" t="s">
        <v>1</v>
      </c>
    </row>
    <row r="53" spans="3:33" x14ac:dyDescent="0.3">
      <c r="C53" s="179"/>
      <c r="D53" s="106" t="s">
        <v>8</v>
      </c>
      <c r="E53" s="106">
        <f ca="1">MONTH(C52)</f>
        <v>1</v>
      </c>
      <c r="F53" s="106">
        <f ca="1">IF(selected_period="Jahresübersicht", 1, IF(selected_period=cc_month_number,1,0))</f>
        <v>0</v>
      </c>
      <c r="G53" s="106">
        <f>1*$D$46</f>
        <v>1</v>
      </c>
      <c r="H53" s="106">
        <f>1*$D$49</f>
        <v>1</v>
      </c>
      <c r="I53" s="121">
        <f t="array" aca="1" ref="I53" ca="1">SUM(Tracking[Betrag]*(Tracking[Type]=cc_type)*(YEAR(Tracking[Effektiv Datum])=selected_year)*(MONTH(Tracking[Effektiv Datum])=cc_month_number))</f>
        <v>0</v>
      </c>
      <c r="J53" s="107">
        <f t="array" aca="1" ref="J53" ca="1">INDEX('Budget Planning'!$E:$FA,fixed_costs_total_row,MATCH(DATE(selected_year,cc_month_number,1),'Budget Planning'!$E$9:$FA$9,0))</f>
        <v>0</v>
      </c>
      <c r="K53" s="107">
        <f ca="1">cc_budget-cc_tracked</f>
        <v>0</v>
      </c>
      <c r="L53" s="122">
        <f ca="1">cc_in_focus * cc_show_type * MIN(cc_tracked,cc_budget)</f>
        <v>0</v>
      </c>
      <c r="M53" s="122">
        <f ca="1">cc_in_focus * cc_show_type * cc_show_remaining_budget * IF(cc_delta&gt;0,cc_delta,0)</f>
        <v>0</v>
      </c>
      <c r="N53" s="122">
        <f ca="1">cc_in_focus * cc_show_type * IF(cc_delta&lt;0,ABS(cc_delta),0)</f>
        <v>0</v>
      </c>
      <c r="O53" s="122">
        <f ca="1">NOT(cc_in_focus) * cc_show_type * MIN(cc_tracked,cc_budget)</f>
        <v>0</v>
      </c>
      <c r="P53" s="122">
        <f ca="1">NOT(cc_in_focus) * cc_show_type * cc_show_remaining_budget * IF(cc_delta&gt;0,cc_delta,0)</f>
        <v>0</v>
      </c>
      <c r="Q53" s="122">
        <f ca="1">NOT(cc_in_focus) * cc_show_type * IF(cc_delta&lt;0,ABS(cc_delta),0)</f>
        <v>0</v>
      </c>
      <c r="S53"/>
      <c r="T53" s="52"/>
      <c r="U53" s="52"/>
      <c r="V53" s="52"/>
      <c r="W53" s="52"/>
      <c r="X53" s="52"/>
      <c r="Y53" s="52"/>
      <c r="AA53" s="125" t="str" cm="1">
        <f t="array" aca="1" ref="AA53" ca="1">_xlfn.LET(_xlpm.type_sel,'Budget Dashboard'!$BP$14,_xlpm.kat_sel,'Budget Dashboard'!$BP$15,_xlpm.yr,selected_year,_xlpm.prd,selected_period,_xlpm.typ,Tracking[Type],_xlpm.kat,Tracking[Kategorie],_xlpm.sub,Tracking[Subkategorie],_xlpm.dt,Tracking[Datum],_xlpm.cond,(_xlpm.typ=_xlpm.type_sel)*IF(_xlpm.kat_sel="(Alle)",1,(_xlpm.kat=_xlpm.kat_sel))*(YEAR(_xlpm.dt)=_xlpm.yr)*IF(_xlpm.prd="Jahresübersicht",1,(MONTH(_xlpm.dt)=_xlpm.prd)),IFERROR(_xlfn.UNIQUE(_xlfn._xlws.FILTER(_xlpm.sub,_xlpm.cond)),""))</f>
        <v/>
      </c>
      <c r="AB53" s="154" t="e" cm="1">
        <f t="array" aca="1" ref="AB53" ca="1">IF(AA53="",NA(),SUMPRODUCT((Tracking[Type]='Budget Dashboard'!$BP$14)*IF('Budget Dashboard'!$BP$15="(Alle)",1,(Tracking[Kategorie]='Budget Dashboard'!$BP$15))*(Tracking[Subkategorie]=AA53)*(YEAR(Tracking[Datum])=selected_year)*IF(selected_period="Jahresübersicht",1,(MONTH(Tracking[Datum])=selected_period))*Tracking[Betrag]))</f>
        <v>#N/A</v>
      </c>
    </row>
    <row r="54" spans="3:33" x14ac:dyDescent="0.3">
      <c r="C54" s="179"/>
      <c r="D54" s="106" t="s">
        <v>9</v>
      </c>
      <c r="E54" s="106">
        <f ca="1">MONTH(C52)</f>
        <v>1</v>
      </c>
      <c r="F54" s="106">
        <f ca="1">IF(selected_period="Jahresübersicht", 1, IF(selected_period=cc_month_number,1,0))</f>
        <v>0</v>
      </c>
      <c r="G54" s="106">
        <f>1*$D$47</f>
        <v>1</v>
      </c>
      <c r="H54" s="106">
        <f>1*$D$49</f>
        <v>1</v>
      </c>
      <c r="I54" s="121">
        <f t="array" aca="1" ref="I54" ca="1">SUM(Tracking[Betrag]*(Tracking[Type]=cc_type)*(YEAR(Tracking[Effektiv Datum])=selected_year)*(MONTH(Tracking[Effektiv Datum])=cc_month_number))</f>
        <v>0</v>
      </c>
      <c r="J54" s="107">
        <f t="array" aca="1" ref="J54" ca="1">INDEX('Budget Planning'!$E:$FA,variable_costs_total_row,MATCH(DATE(selected_year,cc_month_number,1),'Budget Planning'!$E$9:$FA$9,0))</f>
        <v>0</v>
      </c>
      <c r="K54" s="107">
        <f ca="1">cc_budget-cc_tracked</f>
        <v>0</v>
      </c>
      <c r="L54" s="122">
        <f ca="1">cc_in_focus * cc_show_type * MIN(cc_tracked,cc_budget)</f>
        <v>0</v>
      </c>
      <c r="M54" s="122">
        <f ca="1">cc_in_focus * cc_show_type * cc_show_remaining_budget * IF(cc_delta&gt;0,cc_delta,0)</f>
        <v>0</v>
      </c>
      <c r="N54" s="122">
        <f ca="1">cc_in_focus * cc_show_type * IF(cc_delta&lt;0,ABS(cc_delta),0)</f>
        <v>0</v>
      </c>
      <c r="O54" s="122">
        <f ca="1">NOT(cc_in_focus) * cc_show_type * MIN(cc_tracked,cc_budget)</f>
        <v>0</v>
      </c>
      <c r="P54" s="122">
        <f ca="1">NOT(cc_in_focus) * cc_show_type * cc_show_remaining_budget * IF(cc_delta&gt;0,cc_delta,0)</f>
        <v>0</v>
      </c>
      <c r="Q54" s="122">
        <f ca="1">NOT(cc_in_focus) * cc_show_type * IF(cc_delta&lt;0,ABS(cc_delta),0)</f>
        <v>0</v>
      </c>
      <c r="S54"/>
      <c r="T54" s="52"/>
      <c r="U54" s="52"/>
      <c r="V54" s="52"/>
      <c r="W54" s="52"/>
      <c r="X54" s="52"/>
      <c r="Y54" s="52"/>
      <c r="AA54"/>
      <c r="AB54" s="154" t="e" cm="1">
        <f t="array" ref="AB54">IF(AA54="",NA(),SUMPRODUCT((Tracking[Type]='Budget Dashboard'!$BP$14)*IF('Budget Dashboard'!$BP$15="(Alle)",1,(Tracking[Kategorie]='Budget Dashboard'!$BP$15))*(Tracking[Subkategorie]=AA54)*(YEAR(Tracking[Datum])=selected_year)*IF(selected_period="Jahresübersicht",1,(MONTH(Tracking[Datum])=selected_period))*Tracking[Betrag]))</f>
        <v>#N/A</v>
      </c>
    </row>
    <row r="55" spans="3:33" x14ac:dyDescent="0.3">
      <c r="C55" s="179"/>
      <c r="D55" s="106" t="s">
        <v>12</v>
      </c>
      <c r="E55" s="106">
        <f ca="1">MONTH(C52)</f>
        <v>1</v>
      </c>
      <c r="F55" s="106">
        <f ca="1">IF(selected_period="Jahresübersicht", 1, IF(selected_period=cc_month_number,1,0))</f>
        <v>0</v>
      </c>
      <c r="G55" s="106">
        <f>1*$D$48</f>
        <v>1</v>
      </c>
      <c r="H55" s="106">
        <f>1*$D$49</f>
        <v>1</v>
      </c>
      <c r="I55" s="121">
        <f t="array" aca="1" ref="I55" ca="1">SUM(Tracking[Betrag]*(Tracking[Type]=cc_type)*(YEAR(Tracking[Effektiv Datum])=selected_year)*(MONTH(Tracking[Effektiv Datum])=cc_month_number))</f>
        <v>0</v>
      </c>
      <c r="J55" s="107">
        <f t="array" aca="1" ref="J55" ca="1">INDEX('Budget Planning'!$E:$FA,investment_total_row,MATCH(DATE(selected_year,cc_month_number,1),'Budget Planning'!$E$9:$FA$9,0))</f>
        <v>0</v>
      </c>
      <c r="K55" s="107">
        <f ca="1">cc_budget-cc_tracked</f>
        <v>0</v>
      </c>
      <c r="L55" s="122">
        <f ca="1">cc_in_focus * cc_show_type * MIN(cc_tracked,cc_budget)</f>
        <v>0</v>
      </c>
      <c r="M55" s="122">
        <f ca="1">cc_in_focus * cc_show_type * cc_show_remaining_budget * IF(cc_delta&gt;0,cc_delta,0)</f>
        <v>0</v>
      </c>
      <c r="N55" s="122">
        <f ca="1">cc_in_focus * cc_show_type * IF(cc_delta&lt;0,ABS(cc_delta),0)</f>
        <v>0</v>
      </c>
      <c r="O55" s="122">
        <f ca="1">NOT(cc_in_focus) * cc_show_type * MIN(cc_tracked,cc_budget)</f>
        <v>0</v>
      </c>
      <c r="P55" s="122">
        <f ca="1">NOT(cc_in_focus) * cc_show_type * cc_show_remaining_budget * IF(cc_delta&gt;0,cc_delta,0)</f>
        <v>0</v>
      </c>
      <c r="Q55" s="122">
        <f ca="1">NOT(cc_in_focus) * cc_show_type * IF(cc_delta&lt;0,ABS(cc_delta),0)</f>
        <v>0</v>
      </c>
      <c r="S55"/>
      <c r="T55" s="52"/>
      <c r="U55" s="52"/>
      <c r="V55" s="52"/>
      <c r="W55" s="52"/>
      <c r="X55" s="52"/>
      <c r="Y55" s="52"/>
      <c r="AA55"/>
      <c r="AB55" s="154" t="e" cm="1">
        <f t="array" ref="AB55">IF(AA55="",NA(),SUMPRODUCT((Tracking[Type]='Budget Dashboard'!$BP$14)*IF('Budget Dashboard'!$BP$15="(Alle)",1,(Tracking[Kategorie]='Budget Dashboard'!$BP$15))*(Tracking[Subkategorie]=AA55)*(YEAR(Tracking[Datum])=selected_year)*IF(selected_period="Jahresübersicht",1,(MONTH(Tracking[Datum])=selected_period))*Tracking[Betrag]))</f>
        <v>#N/A</v>
      </c>
    </row>
    <row r="56" spans="3:33" x14ac:dyDescent="0.3">
      <c r="C56" s="179"/>
      <c r="D56" s="123"/>
      <c r="E56" s="123"/>
      <c r="F56" s="123"/>
      <c r="G56" s="123"/>
      <c r="H56" s="123"/>
      <c r="I56" s="123"/>
      <c r="J56" s="123"/>
      <c r="K56" s="123"/>
      <c r="L56" s="123"/>
      <c r="M56" s="123"/>
      <c r="N56" s="123"/>
      <c r="O56" s="123"/>
      <c r="P56" s="123"/>
      <c r="Q56" s="123"/>
      <c r="T56" s="52"/>
      <c r="U56" s="52"/>
      <c r="V56" s="52"/>
      <c r="W56" s="52"/>
      <c r="X56" s="52"/>
      <c r="Y56" s="52"/>
      <c r="AA56"/>
      <c r="AB56" s="154" t="e" cm="1">
        <f t="array" ref="AB56">IF(AA56="",NA(),SUMPRODUCT((Tracking[Type]='Budget Dashboard'!$BP$14)*IF('Budget Dashboard'!$BP$15="(Alle)",1,(Tracking[Kategorie]='Budget Dashboard'!$BP$15))*(Tracking[Subkategorie]=AA56)*(YEAR(Tracking[Datum])=selected_year)*IF(selected_period="Jahresübersicht",1,(MONTH(Tracking[Datum])=selected_period))*Tracking[Betrag]))</f>
        <v>#N/A</v>
      </c>
    </row>
    <row r="57" spans="3:33" x14ac:dyDescent="0.3">
      <c r="C57" s="178">
        <f ca="1">DATE(selected_year,2,1)</f>
        <v>46054</v>
      </c>
      <c r="D57" s="106" t="s">
        <v>31</v>
      </c>
      <c r="E57" s="106">
        <f ca="1">MONTH(C57)</f>
        <v>2</v>
      </c>
      <c r="F57" s="106">
        <f ca="1">IF(selected_period="Jahresübersicht", 1, IF(selected_period=cc_month_number,1,0))</f>
        <v>0</v>
      </c>
      <c r="G57" s="106">
        <f>1*$D$45</f>
        <v>1</v>
      </c>
      <c r="H57" s="106">
        <f>1*$D$49</f>
        <v>1</v>
      </c>
      <c r="I57" s="121">
        <f t="array" aca="1" ref="I57" ca="1">SUM(Tracking[Betrag]*(Tracking[Type]=cc_type)*(YEAR(Tracking[Effektiv Datum])=selected_year)*(MONTH(Tracking[Effektiv Datum])=cc_month_number))</f>
        <v>0</v>
      </c>
      <c r="J57" s="107">
        <f t="array" aca="1" ref="J57" ca="1">INDEX('Budget Planning'!$E:$FA,income_total_row,MATCH(DATE(selected_year,cc_month_number,1),'Budget Planning'!$E$9:$FA$9,0))</f>
        <v>0</v>
      </c>
      <c r="K57" s="107">
        <f ca="1">cc_budget-cc_tracked</f>
        <v>0</v>
      </c>
      <c r="L57" s="122">
        <f ca="1">cc_in_focus * cc_show_type * MIN(cc_tracked,cc_budget)</f>
        <v>0</v>
      </c>
      <c r="M57" s="122">
        <f ca="1">cc_in_focus * cc_show_type * cc_show_remaining_budget * IF(cc_delta&gt;0,cc_delta,0)</f>
        <v>0</v>
      </c>
      <c r="N57" s="122">
        <f ca="1">cc_in_focus * cc_show_type * IF(cc_delta&lt;0,ABS(cc_delta),0)</f>
        <v>0</v>
      </c>
      <c r="O57" s="122">
        <f ca="1">NOT(cc_in_focus) * cc_show_type * MIN(cc_tracked,cc_budget)</f>
        <v>0</v>
      </c>
      <c r="P57" s="122">
        <f ca="1">NOT(cc_in_focus) * cc_show_type * cc_show_remaining_budget * IF(cc_delta&gt;0,cc_delta,0)</f>
        <v>0</v>
      </c>
      <c r="Q57" s="122">
        <f ca="1">NOT(cc_in_focus) * cc_show_type * IF(cc_delta&lt;0,ABS(cc_delta),0)</f>
        <v>0</v>
      </c>
      <c r="T57" s="52"/>
      <c r="U57" s="52"/>
      <c r="V57" s="52"/>
      <c r="W57" s="52"/>
      <c r="X57" s="52"/>
      <c r="Y57" s="52"/>
      <c r="AA57"/>
      <c r="AB57" s="154" t="e" cm="1">
        <f t="array" ref="AB57">IF(AA57="",NA(),SUMPRODUCT((Tracking[Type]='Budget Dashboard'!$BP$14)*IF('Budget Dashboard'!$BP$15="(Alle)",1,(Tracking[Kategorie]='Budget Dashboard'!$BP$15))*(Tracking[Subkategorie]=AA57)*(YEAR(Tracking[Datum])=selected_year)*IF(selected_period="Jahresübersicht",1,(MONTH(Tracking[Datum])=selected_period))*Tracking[Betrag]))</f>
        <v>#N/A</v>
      </c>
    </row>
    <row r="58" spans="3:33" x14ac:dyDescent="0.3">
      <c r="C58" s="179"/>
      <c r="D58" s="106" t="s">
        <v>8</v>
      </c>
      <c r="E58" s="106">
        <f ca="1">MONTH(C57)</f>
        <v>2</v>
      </c>
      <c r="F58" s="106">
        <f ca="1">IF(selected_period="Jahresübersicht", 1, IF(selected_period=cc_month_number,1,0))</f>
        <v>0</v>
      </c>
      <c r="G58" s="106">
        <f>1*$D$46</f>
        <v>1</v>
      </c>
      <c r="H58" s="106">
        <f>1*$D$49</f>
        <v>1</v>
      </c>
      <c r="I58" s="121">
        <f t="array" aca="1" ref="I58" ca="1">SUM(Tracking[Betrag]*(Tracking[Type]=cc_type)*(YEAR(Tracking[Effektiv Datum])=selected_year)*(MONTH(Tracking[Effektiv Datum])=cc_month_number))</f>
        <v>0</v>
      </c>
      <c r="J58" s="107">
        <f t="array" aca="1" ref="J58" ca="1">INDEX('Budget Planning'!$E:$FA,fixed_costs_total_row,MATCH(DATE(selected_year,cc_month_number,1),'Budget Planning'!$E$9:$FA$9,0))</f>
        <v>0</v>
      </c>
      <c r="K58" s="107">
        <f ca="1">cc_budget-cc_tracked</f>
        <v>0</v>
      </c>
      <c r="L58" s="122">
        <f ca="1">cc_in_focus * cc_show_type * MIN(cc_tracked,cc_budget)</f>
        <v>0</v>
      </c>
      <c r="M58" s="122">
        <f ca="1">cc_in_focus * cc_show_type * cc_show_remaining_budget * IF(cc_delta&gt;0,cc_delta,0)</f>
        <v>0</v>
      </c>
      <c r="N58" s="122">
        <f ca="1">cc_in_focus * cc_show_type * IF(cc_delta&lt;0,ABS(cc_delta),0)</f>
        <v>0</v>
      </c>
      <c r="O58" s="122">
        <f ca="1">NOT(cc_in_focus) * cc_show_type * MIN(cc_tracked,cc_budget)</f>
        <v>0</v>
      </c>
      <c r="P58" s="122">
        <f ca="1">NOT(cc_in_focus) * cc_show_type * cc_show_remaining_budget * IF(cc_delta&gt;0,cc_delta,0)</f>
        <v>0</v>
      </c>
      <c r="Q58" s="122">
        <f ca="1">NOT(cc_in_focus) * cc_show_type * IF(cc_delta&lt;0,ABS(cc_delta),0)</f>
        <v>0</v>
      </c>
      <c r="T58" s="52"/>
      <c r="U58" s="52"/>
      <c r="V58" s="52"/>
      <c r="W58" s="52"/>
      <c r="X58" s="52"/>
      <c r="Y58" s="52"/>
      <c r="AB58" s="154" t="e" cm="1">
        <f t="array" ref="AB58">IF(AA58="",NA(),SUMPRODUCT((Tracking[Type]='Budget Dashboard'!$BP$14)*IF('Budget Dashboard'!$BP$15="(Alle)",1,(Tracking[Kategorie]='Budget Dashboard'!$BP$15))*(Tracking[Subkategorie]=AA58)*(YEAR(Tracking[Datum])=selected_year)*IF(selected_period="Jahresübersicht",1,(MONTH(Tracking[Datum])=selected_period))*Tracking[Betrag]))</f>
        <v>#N/A</v>
      </c>
    </row>
    <row r="59" spans="3:33" x14ac:dyDescent="0.3">
      <c r="C59" s="179"/>
      <c r="D59" s="106" t="s">
        <v>9</v>
      </c>
      <c r="E59" s="106">
        <f ca="1">MONTH(C57)</f>
        <v>2</v>
      </c>
      <c r="F59" s="106">
        <f ca="1">IF(selected_period="Jahresübersicht", 1, IF(selected_period=cc_month_number,1,0))</f>
        <v>0</v>
      </c>
      <c r="G59" s="106">
        <f>1*$D$47</f>
        <v>1</v>
      </c>
      <c r="H59" s="106">
        <f>1*$D$49</f>
        <v>1</v>
      </c>
      <c r="I59" s="121">
        <f t="array" aca="1" ref="I59" ca="1">SUM(Tracking[Betrag]*(Tracking[Type]=cc_type)*(YEAR(Tracking[Effektiv Datum])=selected_year)*(MONTH(Tracking[Effektiv Datum])=cc_month_number))</f>
        <v>0</v>
      </c>
      <c r="J59" s="107">
        <f t="array" aca="1" ref="J59" ca="1">INDEX('Budget Planning'!$E:$FA,variable_costs_total_row,MATCH(DATE(selected_year,cc_month_number,1),'Budget Planning'!$E$9:$FA$9,0))</f>
        <v>0</v>
      </c>
      <c r="K59" s="107">
        <f ca="1">cc_budget-cc_tracked</f>
        <v>0</v>
      </c>
      <c r="L59" s="122">
        <f ca="1">cc_in_focus * cc_show_type * MIN(cc_tracked,cc_budget)</f>
        <v>0</v>
      </c>
      <c r="M59" s="122">
        <f ca="1">cc_in_focus * cc_show_type * cc_show_remaining_budget * IF(cc_delta&gt;0,cc_delta,0)</f>
        <v>0</v>
      </c>
      <c r="N59" s="122">
        <f ca="1">cc_in_focus * cc_show_type * IF(cc_delta&lt;0,ABS(cc_delta),0)</f>
        <v>0</v>
      </c>
      <c r="O59" s="122">
        <f ca="1">NOT(cc_in_focus) * cc_show_type * MIN(cc_tracked,cc_budget)</f>
        <v>0</v>
      </c>
      <c r="P59" s="122">
        <f ca="1">NOT(cc_in_focus) * cc_show_type * cc_show_remaining_budget * IF(cc_delta&gt;0,cc_delta,0)</f>
        <v>0</v>
      </c>
      <c r="Q59" s="122">
        <f ca="1">NOT(cc_in_focus) * cc_show_type * IF(cc_delta&lt;0,ABS(cc_delta),0)</f>
        <v>0</v>
      </c>
      <c r="AB59" s="154" t="e" cm="1">
        <f t="array" ref="AB59">IF(AA59="",NA(),SUMPRODUCT((Tracking[Type]='Budget Dashboard'!$BP$14)*IF('Budget Dashboard'!$BP$15="(Alle)",1,(Tracking[Kategorie]='Budget Dashboard'!$BP$15))*(Tracking[Subkategorie]=AA59)*(YEAR(Tracking[Datum])=selected_year)*IF(selected_period="Jahresübersicht",1,(MONTH(Tracking[Datum])=selected_period))*Tracking[Betrag]))</f>
        <v>#N/A</v>
      </c>
    </row>
    <row r="60" spans="3:33" x14ac:dyDescent="0.3">
      <c r="C60" s="179"/>
      <c r="D60" s="106" t="s">
        <v>12</v>
      </c>
      <c r="E60" s="106">
        <f ca="1">MONTH(C57)</f>
        <v>2</v>
      </c>
      <c r="F60" s="106">
        <f ca="1">IF(selected_period="Jahresübersicht", 1, IF(selected_period=cc_month_number,1,0))</f>
        <v>0</v>
      </c>
      <c r="G60" s="106">
        <f>1*$D$48</f>
        <v>1</v>
      </c>
      <c r="H60" s="106">
        <f>1*$D$49</f>
        <v>1</v>
      </c>
      <c r="I60" s="121">
        <f t="array" aca="1" ref="I60" ca="1">SUM(Tracking[Betrag]*(Tracking[Type]=cc_type)*(YEAR(Tracking[Effektiv Datum])=selected_year)*(MONTH(Tracking[Effektiv Datum])=cc_month_number))</f>
        <v>0</v>
      </c>
      <c r="J60" s="107">
        <f t="array" aca="1" ref="J60" ca="1">INDEX('Budget Planning'!$E:$FA,investment_total_row,MATCH(DATE(selected_year,cc_month_number,1),'Budget Planning'!$E$9:$FA$9,0))</f>
        <v>0</v>
      </c>
      <c r="K60" s="107">
        <f ca="1">cc_budget-cc_tracked</f>
        <v>0</v>
      </c>
      <c r="L60" s="122">
        <f ca="1">cc_in_focus * cc_show_type * MIN(cc_tracked,cc_budget)</f>
        <v>0</v>
      </c>
      <c r="M60" s="122">
        <f ca="1">cc_in_focus * cc_show_type * cc_show_remaining_budget * IF(cc_delta&gt;0,cc_delta,0)</f>
        <v>0</v>
      </c>
      <c r="N60" s="122">
        <f ca="1">cc_in_focus * cc_show_type * IF(cc_delta&lt;0,ABS(cc_delta),0)</f>
        <v>0</v>
      </c>
      <c r="O60" s="122">
        <f ca="1">NOT(cc_in_focus) * cc_show_type * MIN(cc_tracked,cc_budget)</f>
        <v>0</v>
      </c>
      <c r="P60" s="122">
        <f ca="1">NOT(cc_in_focus) * cc_show_type * cc_show_remaining_budget * IF(cc_delta&gt;0,cc_delta,0)</f>
        <v>0</v>
      </c>
      <c r="Q60" s="122">
        <f ca="1">NOT(cc_in_focus) * cc_show_type * IF(cc_delta&lt;0,ABS(cc_delta),0)</f>
        <v>0</v>
      </c>
      <c r="AB60" s="154" t="e" cm="1">
        <f t="array" ref="AB60">IF(AA60="",NA(),SUMPRODUCT((Tracking[Type]='Budget Dashboard'!$BP$14)*IF('Budget Dashboard'!$BP$15="(Alle)",1,(Tracking[Kategorie]='Budget Dashboard'!$BP$15))*(Tracking[Subkategorie]=AA60)*(YEAR(Tracking[Datum])=selected_year)*IF(selected_period="Jahresübersicht",1,(MONTH(Tracking[Datum])=selected_period))*Tracking[Betrag]))</f>
        <v>#N/A</v>
      </c>
    </row>
    <row r="61" spans="3:33" x14ac:dyDescent="0.3">
      <c r="C61" s="179"/>
      <c r="D61" s="123"/>
      <c r="E61" s="123"/>
      <c r="F61" s="123"/>
      <c r="G61" s="123"/>
      <c r="H61" s="123"/>
      <c r="I61" s="123"/>
      <c r="J61" s="123"/>
      <c r="K61" s="123"/>
      <c r="L61" s="123"/>
      <c r="M61" s="123"/>
      <c r="N61" s="123"/>
      <c r="O61" s="123"/>
      <c r="P61" s="123"/>
      <c r="Q61" s="123"/>
      <c r="AB61" s="154" t="e" cm="1">
        <f t="array" ref="AB61">IF(AA61="",NA(),SUMPRODUCT((Tracking[Type]='Budget Dashboard'!$BP$14)*IF('Budget Dashboard'!$BP$15="(Alle)",1,(Tracking[Kategorie]='Budget Dashboard'!$BP$15))*(Tracking[Subkategorie]=AA61)*(YEAR(Tracking[Datum])=selected_year)*IF(selected_period="Jahresübersicht",1,(MONTH(Tracking[Datum])=selected_period))*Tracking[Betrag]))</f>
        <v>#N/A</v>
      </c>
    </row>
    <row r="62" spans="3:33" x14ac:dyDescent="0.3">
      <c r="C62" s="178">
        <f ca="1">DATE(selected_year,3,1)</f>
        <v>46082</v>
      </c>
      <c r="D62" s="106" t="s">
        <v>31</v>
      </c>
      <c r="E62" s="106">
        <f ca="1">MONTH(C62)</f>
        <v>3</v>
      </c>
      <c r="F62" s="106">
        <f ca="1">IF(selected_period="Jahresübersicht", 1, IF(selected_period=cc_month_number,1,0))</f>
        <v>0</v>
      </c>
      <c r="G62" s="106">
        <f>1*$D$45</f>
        <v>1</v>
      </c>
      <c r="H62" s="106">
        <f>1*$D$49</f>
        <v>1</v>
      </c>
      <c r="I62" s="121">
        <f t="array" aca="1" ref="I62" ca="1">SUM(Tracking[Betrag]*(Tracking[Type]=cc_type)*(YEAR(Tracking[Effektiv Datum])=selected_year)*(MONTH(Tracking[Effektiv Datum])=cc_month_number))</f>
        <v>0</v>
      </c>
      <c r="J62" s="107">
        <f t="array" aca="1" ref="J62" ca="1">INDEX('Budget Planning'!$E:$FA,income_total_row,MATCH(DATE(selected_year,cc_month_number,1),'Budget Planning'!$E$9:$FA$9,0))</f>
        <v>0</v>
      </c>
      <c r="K62" s="107">
        <f ca="1">cc_budget-cc_tracked</f>
        <v>0</v>
      </c>
      <c r="L62" s="122">
        <f ca="1">cc_in_focus * cc_show_type * MIN(cc_tracked,cc_budget)</f>
        <v>0</v>
      </c>
      <c r="M62" s="122">
        <f ca="1">cc_in_focus * cc_show_type * cc_show_remaining_budget * IF(cc_delta&gt;0,cc_delta,0)</f>
        <v>0</v>
      </c>
      <c r="N62" s="122">
        <f ca="1">cc_in_focus * cc_show_type * IF(cc_delta&lt;0,ABS(cc_delta),0)</f>
        <v>0</v>
      </c>
      <c r="O62" s="122">
        <f ca="1">NOT(cc_in_focus) * cc_show_type * MIN(cc_tracked,cc_budget)</f>
        <v>0</v>
      </c>
      <c r="P62" s="122">
        <f ca="1">NOT(cc_in_focus) * cc_show_type * cc_show_remaining_budget * IF(cc_delta&gt;0,cc_delta,0)</f>
        <v>0</v>
      </c>
      <c r="Q62" s="122">
        <f ca="1">NOT(cc_in_focus) * cc_show_type * IF(cc_delta&lt;0,ABS(cc_delta),0)</f>
        <v>0</v>
      </c>
      <c r="AB62" s="154" t="e" cm="1">
        <f t="array" ref="AB62">IF(AA62="",NA(),SUMPRODUCT((Tracking[Type]='Budget Dashboard'!$BP$14)*IF('Budget Dashboard'!$BP$15="(Alle)",1,(Tracking[Kategorie]='Budget Dashboard'!$BP$15))*(Tracking[Subkategorie]=AA62)*(YEAR(Tracking[Datum])=selected_year)*IF(selected_period="Jahresübersicht",1,(MONTH(Tracking[Datum])=selected_period))*Tracking[Betrag]))</f>
        <v>#N/A</v>
      </c>
    </row>
    <row r="63" spans="3:33" x14ac:dyDescent="0.3">
      <c r="C63" s="179"/>
      <c r="D63" s="106" t="s">
        <v>8</v>
      </c>
      <c r="E63" s="106">
        <f ca="1">MONTH(C62)</f>
        <v>3</v>
      </c>
      <c r="F63" s="106">
        <f ca="1">IF(selected_period="Jahresübersicht", 1, IF(selected_period=cc_month_number,1,0))</f>
        <v>0</v>
      </c>
      <c r="G63" s="106">
        <f>1*$D$46</f>
        <v>1</v>
      </c>
      <c r="H63" s="106">
        <f>1*$D$49</f>
        <v>1</v>
      </c>
      <c r="I63" s="121">
        <f t="array" aca="1" ref="I63" ca="1">SUM(Tracking[Betrag]*(Tracking[Type]=cc_type)*(YEAR(Tracking[Effektiv Datum])=selected_year)*(MONTH(Tracking[Effektiv Datum])=cc_month_number))</f>
        <v>0</v>
      </c>
      <c r="J63" s="107">
        <f t="array" aca="1" ref="J63" ca="1">INDEX('Budget Planning'!$E:$FA,fixed_costs_total_row,MATCH(DATE(selected_year,cc_month_number,1),'Budget Planning'!$E$9:$FA$9,0))</f>
        <v>0</v>
      </c>
      <c r="K63" s="107">
        <f ca="1">cc_budget-cc_tracked</f>
        <v>0</v>
      </c>
      <c r="L63" s="122">
        <f ca="1">cc_in_focus * cc_show_type * MIN(cc_tracked,cc_budget)</f>
        <v>0</v>
      </c>
      <c r="M63" s="122">
        <f ca="1">cc_in_focus * cc_show_type * cc_show_remaining_budget * IF(cc_delta&gt;0,cc_delta,0)</f>
        <v>0</v>
      </c>
      <c r="N63" s="122">
        <f ca="1">cc_in_focus * cc_show_type * IF(cc_delta&lt;0,ABS(cc_delta),0)</f>
        <v>0</v>
      </c>
      <c r="O63" s="122">
        <f ca="1">NOT(cc_in_focus) * cc_show_type * MIN(cc_tracked,cc_budget)</f>
        <v>0</v>
      </c>
      <c r="P63" s="122">
        <f ca="1">NOT(cc_in_focus) * cc_show_type * cc_show_remaining_budget * IF(cc_delta&gt;0,cc_delta,0)</f>
        <v>0</v>
      </c>
      <c r="Q63" s="122">
        <f ca="1">NOT(cc_in_focus) * cc_show_type * IF(cc_delta&lt;0,ABS(cc_delta),0)</f>
        <v>0</v>
      </c>
      <c r="AB63" s="154" t="e" cm="1">
        <f t="array" ref="AB63">IF(AA63="",NA(),SUMPRODUCT((Tracking[Type]='Budget Dashboard'!$BP$14)*IF('Budget Dashboard'!$BP$15="(Alle)",1,(Tracking[Kategorie]='Budget Dashboard'!$BP$15))*(Tracking[Subkategorie]=AA63)*(YEAR(Tracking[Datum])=selected_year)*IF(selected_period="Jahresübersicht",1,(MONTH(Tracking[Datum])=selected_period))*Tracking[Betrag]))</f>
        <v>#N/A</v>
      </c>
    </row>
    <row r="64" spans="3:33" x14ac:dyDescent="0.3">
      <c r="C64" s="179"/>
      <c r="D64" s="106" t="s">
        <v>9</v>
      </c>
      <c r="E64" s="106">
        <f ca="1">MONTH(C62)</f>
        <v>3</v>
      </c>
      <c r="F64" s="106">
        <f ca="1">IF(selected_period="Jahresübersicht", 1, IF(selected_period=cc_month_number,1,0))</f>
        <v>0</v>
      </c>
      <c r="G64" s="106">
        <f>1*$D$47</f>
        <v>1</v>
      </c>
      <c r="H64" s="106">
        <f>1*$D$49</f>
        <v>1</v>
      </c>
      <c r="I64" s="121">
        <f t="array" aca="1" ref="I64" ca="1">SUM(Tracking[Betrag]*(Tracking[Type]=cc_type)*(YEAR(Tracking[Effektiv Datum])=selected_year)*(MONTH(Tracking[Effektiv Datum])=cc_month_number))</f>
        <v>0</v>
      </c>
      <c r="J64" s="107">
        <f t="array" aca="1" ref="J64" ca="1">INDEX('Budget Planning'!$E:$FA,variable_costs_total_row,MATCH(DATE(selected_year,cc_month_number,1),'Budget Planning'!$E$9:$FA$9,0))</f>
        <v>0</v>
      </c>
      <c r="K64" s="107">
        <f ca="1">cc_budget-cc_tracked</f>
        <v>0</v>
      </c>
      <c r="L64" s="122">
        <f ca="1">cc_in_focus * cc_show_type * MIN(cc_tracked,cc_budget)</f>
        <v>0</v>
      </c>
      <c r="M64" s="122">
        <f ca="1">cc_in_focus * cc_show_type * cc_show_remaining_budget * IF(cc_delta&gt;0,cc_delta,0)</f>
        <v>0</v>
      </c>
      <c r="N64" s="122">
        <f ca="1">cc_in_focus * cc_show_type * IF(cc_delta&lt;0,ABS(cc_delta),0)</f>
        <v>0</v>
      </c>
      <c r="O64" s="122">
        <f ca="1">NOT(cc_in_focus) * cc_show_type * MIN(cc_tracked,cc_budget)</f>
        <v>0</v>
      </c>
      <c r="P64" s="122">
        <f ca="1">NOT(cc_in_focus) * cc_show_type * cc_show_remaining_budget * IF(cc_delta&gt;0,cc_delta,0)</f>
        <v>0</v>
      </c>
      <c r="Q64" s="122">
        <f ca="1">NOT(cc_in_focus) * cc_show_type * IF(cc_delta&lt;0,ABS(cc_delta),0)</f>
        <v>0</v>
      </c>
      <c r="AB64" s="154" t="e" cm="1">
        <f t="array" ref="AB64">IF(AA64="",NA(),SUMPRODUCT((Tracking[Type]='Budget Dashboard'!$BP$14)*IF('Budget Dashboard'!$BP$15="(Alle)",1,(Tracking[Kategorie]='Budget Dashboard'!$BP$15))*(Tracking[Subkategorie]=AA64)*(YEAR(Tracking[Datum])=selected_year)*IF(selected_period="Jahresübersicht",1,(MONTH(Tracking[Datum])=selected_period))*Tracking[Betrag]))</f>
        <v>#N/A</v>
      </c>
    </row>
    <row r="65" spans="3:28" x14ac:dyDescent="0.3">
      <c r="C65" s="179"/>
      <c r="D65" s="106" t="s">
        <v>12</v>
      </c>
      <c r="E65" s="106">
        <f ca="1">MONTH(C62)</f>
        <v>3</v>
      </c>
      <c r="F65" s="106">
        <f ca="1">IF(selected_period="Jahresübersicht", 1, IF(selected_period=cc_month_number,1,0))</f>
        <v>0</v>
      </c>
      <c r="G65" s="106">
        <f>1*$D$48</f>
        <v>1</v>
      </c>
      <c r="H65" s="106">
        <f>1*$D$49</f>
        <v>1</v>
      </c>
      <c r="I65" s="121">
        <f t="array" aca="1" ref="I65" ca="1">SUM(Tracking[Betrag]*(Tracking[Type]=cc_type)*(YEAR(Tracking[Effektiv Datum])=selected_year)*(MONTH(Tracking[Effektiv Datum])=cc_month_number))</f>
        <v>0</v>
      </c>
      <c r="J65" s="107">
        <f t="array" aca="1" ref="J65" ca="1">INDEX('Budget Planning'!$E:$FA,investment_total_row,MATCH(DATE(selected_year,cc_month_number,1),'Budget Planning'!$E$9:$FA$9,0))</f>
        <v>0</v>
      </c>
      <c r="K65" s="107">
        <f ca="1">cc_budget-cc_tracked</f>
        <v>0</v>
      </c>
      <c r="L65" s="122">
        <f ca="1">cc_in_focus * cc_show_type * MIN(cc_tracked,cc_budget)</f>
        <v>0</v>
      </c>
      <c r="M65" s="122">
        <f ca="1">cc_in_focus * cc_show_type * cc_show_remaining_budget * IF(cc_delta&gt;0,cc_delta,0)</f>
        <v>0</v>
      </c>
      <c r="N65" s="122">
        <f ca="1">cc_in_focus * cc_show_type * IF(cc_delta&lt;0,ABS(cc_delta),0)</f>
        <v>0</v>
      </c>
      <c r="O65" s="122">
        <f ca="1">NOT(cc_in_focus) * cc_show_type * MIN(cc_tracked,cc_budget)</f>
        <v>0</v>
      </c>
      <c r="P65" s="122">
        <f ca="1">NOT(cc_in_focus) * cc_show_type * cc_show_remaining_budget * IF(cc_delta&gt;0,cc_delta,0)</f>
        <v>0</v>
      </c>
      <c r="Q65" s="122">
        <f ca="1">NOT(cc_in_focus) * cc_show_type * IF(cc_delta&lt;0,ABS(cc_delta),0)</f>
        <v>0</v>
      </c>
      <c r="AB65" s="154" t="e" cm="1">
        <f t="array" ref="AB65">IF(AA65="",NA(),SUMPRODUCT((Tracking[Type]='Budget Dashboard'!$BP$14)*IF('Budget Dashboard'!$BP$15="(Alle)",1,(Tracking[Kategorie]='Budget Dashboard'!$BP$15))*(Tracking[Subkategorie]=AA65)*(YEAR(Tracking[Datum])=selected_year)*IF(selected_period="Jahresübersicht",1,(MONTH(Tracking[Datum])=selected_period))*Tracking[Betrag]))</f>
        <v>#N/A</v>
      </c>
    </row>
    <row r="66" spans="3:28" x14ac:dyDescent="0.3">
      <c r="C66" s="179"/>
      <c r="D66" s="123"/>
      <c r="E66" s="123"/>
      <c r="F66" s="123"/>
      <c r="G66" s="123"/>
      <c r="H66" s="123"/>
      <c r="I66" s="123"/>
      <c r="J66" s="123"/>
      <c r="K66" s="123"/>
      <c r="L66" s="123"/>
      <c r="M66" s="123"/>
      <c r="N66" s="123"/>
      <c r="O66" s="123"/>
      <c r="P66" s="123"/>
      <c r="Q66" s="123"/>
      <c r="AB66" s="154" t="e" cm="1">
        <f t="array" ref="AB66">IF(AA66="",NA(),SUMPRODUCT((Tracking[Type]='Budget Dashboard'!$BP$14)*IF('Budget Dashboard'!$BP$15="(Alle)",1,(Tracking[Kategorie]='Budget Dashboard'!$BP$15))*(Tracking[Subkategorie]=AA66)*(YEAR(Tracking[Datum])=selected_year)*IF(selected_period="Jahresübersicht",1,(MONTH(Tracking[Datum])=selected_period))*Tracking[Betrag]))</f>
        <v>#N/A</v>
      </c>
    </row>
    <row r="67" spans="3:28" x14ac:dyDescent="0.3">
      <c r="C67" s="178">
        <f ca="1">DATE(selected_year,4,1)</f>
        <v>46113</v>
      </c>
      <c r="D67" s="106" t="s">
        <v>31</v>
      </c>
      <c r="E67" s="106">
        <f ca="1">MONTH(C67)</f>
        <v>4</v>
      </c>
      <c r="F67" s="106">
        <f ca="1">IF(selected_period="Jahresübersicht", 1, IF(selected_period=cc_month_number,1,0))</f>
        <v>0</v>
      </c>
      <c r="G67" s="106">
        <f>1*$D$45</f>
        <v>1</v>
      </c>
      <c r="H67" s="106">
        <f>1*$D$49</f>
        <v>1</v>
      </c>
      <c r="I67" s="121">
        <f t="array" aca="1" ref="I67" ca="1">SUM(Tracking[Betrag]*(Tracking[Type]=cc_type)*(YEAR(Tracking[Effektiv Datum])=selected_year)*(MONTH(Tracking[Effektiv Datum])=cc_month_number))</f>
        <v>0</v>
      </c>
      <c r="J67" s="107">
        <f t="array" aca="1" ref="J67" ca="1">INDEX('Budget Planning'!$E:$FA,income_total_row,MATCH(DATE(selected_year,cc_month_number,1),'Budget Planning'!$E$9:$FA$9,0))</f>
        <v>0</v>
      </c>
      <c r="K67" s="107">
        <f ca="1">cc_budget-cc_tracked</f>
        <v>0</v>
      </c>
      <c r="L67" s="122">
        <f ca="1">cc_in_focus * cc_show_type * MIN(cc_tracked,cc_budget)</f>
        <v>0</v>
      </c>
      <c r="M67" s="122">
        <f ca="1">cc_in_focus * cc_show_type * cc_show_remaining_budget * IF(cc_delta&gt;0,cc_delta,0)</f>
        <v>0</v>
      </c>
      <c r="N67" s="122">
        <f ca="1">cc_in_focus * cc_show_type * IF(cc_delta&lt;0,ABS(cc_delta),0)</f>
        <v>0</v>
      </c>
      <c r="O67" s="122">
        <f ca="1">NOT(cc_in_focus) * cc_show_type * MIN(cc_tracked,cc_budget)</f>
        <v>0</v>
      </c>
      <c r="P67" s="122">
        <f ca="1">NOT(cc_in_focus) * cc_show_type * cc_show_remaining_budget * IF(cc_delta&gt;0,cc_delta,0)</f>
        <v>0</v>
      </c>
      <c r="Q67" s="122">
        <f ca="1">NOT(cc_in_focus) * cc_show_type * IF(cc_delta&lt;0,ABS(cc_delta),0)</f>
        <v>0</v>
      </c>
      <c r="AB67" s="154" t="e" cm="1">
        <f t="array" ref="AB67">IF(AA67="",NA(),SUMPRODUCT((Tracking[Type]='Budget Dashboard'!$BP$14)*IF('Budget Dashboard'!$BP$15="(Alle)",1,(Tracking[Kategorie]='Budget Dashboard'!$BP$15))*(Tracking[Subkategorie]=AA67)*(YEAR(Tracking[Datum])=selected_year)*IF(selected_period="Jahresübersicht",1,(MONTH(Tracking[Datum])=selected_period))*Tracking[Betrag]))</f>
        <v>#N/A</v>
      </c>
    </row>
    <row r="68" spans="3:28" x14ac:dyDescent="0.3">
      <c r="C68" s="179"/>
      <c r="D68" s="106" t="s">
        <v>8</v>
      </c>
      <c r="E68" s="106">
        <f ca="1">MONTH(C67)</f>
        <v>4</v>
      </c>
      <c r="F68" s="106">
        <f ca="1">IF(selected_period="Jahresübersicht", 1, IF(selected_period=cc_month_number,1,0))</f>
        <v>0</v>
      </c>
      <c r="G68" s="106">
        <f>1*$D$46</f>
        <v>1</v>
      </c>
      <c r="H68" s="106">
        <f>1*$D$49</f>
        <v>1</v>
      </c>
      <c r="I68" s="121">
        <f t="array" aca="1" ref="I68" ca="1">SUM(Tracking[Betrag]*(Tracking[Type]=cc_type)*(YEAR(Tracking[Effektiv Datum])=selected_year)*(MONTH(Tracking[Effektiv Datum])=cc_month_number))</f>
        <v>0</v>
      </c>
      <c r="J68" s="107">
        <f t="array" aca="1" ref="J68" ca="1">INDEX('Budget Planning'!$E:$FA,fixed_costs_total_row,MATCH(DATE(selected_year,cc_month_number,1),'Budget Planning'!$E$9:$FA$9,0))</f>
        <v>0</v>
      </c>
      <c r="K68" s="107">
        <f ca="1">cc_budget-cc_tracked</f>
        <v>0</v>
      </c>
      <c r="L68" s="122">
        <f ca="1">cc_in_focus * cc_show_type * MIN(cc_tracked,cc_budget)</f>
        <v>0</v>
      </c>
      <c r="M68" s="122">
        <f ca="1">cc_in_focus * cc_show_type * cc_show_remaining_budget * IF(cc_delta&gt;0,cc_delta,0)</f>
        <v>0</v>
      </c>
      <c r="N68" s="122">
        <f ca="1">cc_in_focus * cc_show_type * IF(cc_delta&lt;0,ABS(cc_delta),0)</f>
        <v>0</v>
      </c>
      <c r="O68" s="122">
        <f ca="1">NOT(cc_in_focus) * cc_show_type * MIN(cc_tracked,cc_budget)</f>
        <v>0</v>
      </c>
      <c r="P68" s="122">
        <f ca="1">NOT(cc_in_focus) * cc_show_type * cc_show_remaining_budget * IF(cc_delta&gt;0,cc_delta,0)</f>
        <v>0</v>
      </c>
      <c r="Q68" s="122">
        <f ca="1">NOT(cc_in_focus) * cc_show_type * IF(cc_delta&lt;0,ABS(cc_delta),0)</f>
        <v>0</v>
      </c>
      <c r="AB68" s="154" t="e" cm="1">
        <f t="array" ref="AB68">IF(AA68="",NA(),SUMPRODUCT((Tracking[Type]='Budget Dashboard'!$BP$14)*IF('Budget Dashboard'!$BP$15="(Alle)",1,(Tracking[Kategorie]='Budget Dashboard'!$BP$15))*(Tracking[Subkategorie]=AA68)*(YEAR(Tracking[Datum])=selected_year)*IF(selected_period="Jahresübersicht",1,(MONTH(Tracking[Datum])=selected_period))*Tracking[Betrag]))</f>
        <v>#N/A</v>
      </c>
    </row>
    <row r="69" spans="3:28" x14ac:dyDescent="0.3">
      <c r="C69" s="179"/>
      <c r="D69" s="106" t="s">
        <v>9</v>
      </c>
      <c r="E69" s="106">
        <f ca="1">MONTH(C67)</f>
        <v>4</v>
      </c>
      <c r="F69" s="106">
        <f ca="1">IF(selected_period="Jahresübersicht", 1, IF(selected_period=cc_month_number,1,0))</f>
        <v>0</v>
      </c>
      <c r="G69" s="106">
        <f>1*$D$47</f>
        <v>1</v>
      </c>
      <c r="H69" s="106">
        <f>1*$D$49</f>
        <v>1</v>
      </c>
      <c r="I69" s="121">
        <f t="array" aca="1" ref="I69" ca="1">SUM(Tracking[Betrag]*(Tracking[Type]=cc_type)*(YEAR(Tracking[Effektiv Datum])=selected_year)*(MONTH(Tracking[Effektiv Datum])=cc_month_number))</f>
        <v>0</v>
      </c>
      <c r="J69" s="107">
        <f t="array" aca="1" ref="J69" ca="1">INDEX('Budget Planning'!$E:$FA,variable_costs_total_row,MATCH(DATE(selected_year,cc_month_number,1),'Budget Planning'!$E$9:$FA$9,0))</f>
        <v>0</v>
      </c>
      <c r="K69" s="107">
        <f ca="1">cc_budget-cc_tracked</f>
        <v>0</v>
      </c>
      <c r="L69" s="122">
        <f ca="1">cc_in_focus * cc_show_type * MIN(cc_tracked,cc_budget)</f>
        <v>0</v>
      </c>
      <c r="M69" s="122">
        <f ca="1">cc_in_focus * cc_show_type * cc_show_remaining_budget * IF(cc_delta&gt;0,cc_delta,0)</f>
        <v>0</v>
      </c>
      <c r="N69" s="122">
        <f ca="1">cc_in_focus * cc_show_type * IF(cc_delta&lt;0,ABS(cc_delta),0)</f>
        <v>0</v>
      </c>
      <c r="O69" s="122">
        <f ca="1">NOT(cc_in_focus) * cc_show_type * MIN(cc_tracked,cc_budget)</f>
        <v>0</v>
      </c>
      <c r="P69" s="122">
        <f ca="1">NOT(cc_in_focus) * cc_show_type * cc_show_remaining_budget * IF(cc_delta&gt;0,cc_delta,0)</f>
        <v>0</v>
      </c>
      <c r="Q69" s="122">
        <f ca="1">NOT(cc_in_focus) * cc_show_type * IF(cc_delta&lt;0,ABS(cc_delta),0)</f>
        <v>0</v>
      </c>
      <c r="AB69" s="154" t="e" cm="1">
        <f t="array" ref="AB69">IF(AA69="",NA(),SUMPRODUCT((Tracking[Type]='Budget Dashboard'!$BP$14)*IF('Budget Dashboard'!$BP$15="(Alle)",1,(Tracking[Kategorie]='Budget Dashboard'!$BP$15))*(Tracking[Subkategorie]=AA69)*(YEAR(Tracking[Datum])=selected_year)*IF(selected_period="Jahresübersicht",1,(MONTH(Tracking[Datum])=selected_period))*Tracking[Betrag]))</f>
        <v>#N/A</v>
      </c>
    </row>
    <row r="70" spans="3:28" x14ac:dyDescent="0.3">
      <c r="C70" s="179"/>
      <c r="D70" s="106" t="s">
        <v>12</v>
      </c>
      <c r="E70" s="106">
        <f ca="1">MONTH(C67)</f>
        <v>4</v>
      </c>
      <c r="F70" s="106">
        <f ca="1">IF(selected_period="Jahresübersicht", 1, IF(selected_period=cc_month_number,1,0))</f>
        <v>0</v>
      </c>
      <c r="G70" s="106">
        <f>1*$D$48</f>
        <v>1</v>
      </c>
      <c r="H70" s="106">
        <f>1*$D$49</f>
        <v>1</v>
      </c>
      <c r="I70" s="121">
        <f t="array" aca="1" ref="I70" ca="1">SUM(Tracking[Betrag]*(Tracking[Type]=cc_type)*(YEAR(Tracking[Effektiv Datum])=selected_year)*(MONTH(Tracking[Effektiv Datum])=cc_month_number))</f>
        <v>0</v>
      </c>
      <c r="J70" s="107">
        <f t="array" aca="1" ref="J70" ca="1">INDEX('Budget Planning'!$E:$FA,investment_total_row,MATCH(DATE(selected_year,cc_month_number,1),'Budget Planning'!$E$9:$FA$9,0))</f>
        <v>0</v>
      </c>
      <c r="K70" s="107">
        <f ca="1">cc_budget-cc_tracked</f>
        <v>0</v>
      </c>
      <c r="L70" s="122">
        <f ca="1">cc_in_focus * cc_show_type * MIN(cc_tracked,cc_budget)</f>
        <v>0</v>
      </c>
      <c r="M70" s="122">
        <f ca="1">cc_in_focus * cc_show_type * cc_show_remaining_budget * IF(cc_delta&gt;0,cc_delta,0)</f>
        <v>0</v>
      </c>
      <c r="N70" s="122">
        <f ca="1">cc_in_focus * cc_show_type * IF(cc_delta&lt;0,ABS(cc_delta),0)</f>
        <v>0</v>
      </c>
      <c r="O70" s="122">
        <f ca="1">NOT(cc_in_focus) * cc_show_type * MIN(cc_tracked,cc_budget)</f>
        <v>0</v>
      </c>
      <c r="P70" s="122">
        <f ca="1">NOT(cc_in_focus) * cc_show_type * cc_show_remaining_budget * IF(cc_delta&gt;0,cc_delta,0)</f>
        <v>0</v>
      </c>
      <c r="Q70" s="122">
        <f ca="1">NOT(cc_in_focus) * cc_show_type * IF(cc_delta&lt;0,ABS(cc_delta),0)</f>
        <v>0</v>
      </c>
      <c r="AB70" s="154" t="e" cm="1">
        <f t="array" ref="AB70">IF(AA70="",NA(),SUMPRODUCT((Tracking[Type]='Budget Dashboard'!$BP$14)*IF('Budget Dashboard'!$BP$15="(Alle)",1,(Tracking[Kategorie]='Budget Dashboard'!$BP$15))*(Tracking[Subkategorie]=AA70)*(YEAR(Tracking[Datum])=selected_year)*IF(selected_period="Jahresübersicht",1,(MONTH(Tracking[Datum])=selected_period))*Tracking[Betrag]))</f>
        <v>#N/A</v>
      </c>
    </row>
    <row r="71" spans="3:28" x14ac:dyDescent="0.3">
      <c r="C71" s="179"/>
      <c r="D71" s="123"/>
      <c r="E71" s="123"/>
      <c r="F71" s="123"/>
      <c r="G71" s="123"/>
      <c r="H71" s="123"/>
      <c r="I71" s="123"/>
      <c r="J71" s="123"/>
      <c r="K71" s="123"/>
      <c r="L71" s="123"/>
      <c r="M71" s="123"/>
      <c r="N71" s="123"/>
      <c r="O71" s="123"/>
      <c r="P71" s="123"/>
      <c r="Q71" s="123"/>
      <c r="AB71" s="154" t="e" cm="1">
        <f t="array" ref="AB71">IF(AA71="",NA(),SUMPRODUCT((Tracking[Type]='Budget Dashboard'!$BP$14)*IF('Budget Dashboard'!$BP$15="(Alle)",1,(Tracking[Kategorie]='Budget Dashboard'!$BP$15))*(Tracking[Subkategorie]=AA71)*(YEAR(Tracking[Datum])=selected_year)*IF(selected_period="Jahresübersicht",1,(MONTH(Tracking[Datum])=selected_period))*Tracking[Betrag]))</f>
        <v>#N/A</v>
      </c>
    </row>
    <row r="72" spans="3:28" x14ac:dyDescent="0.3">
      <c r="C72" s="178">
        <f ca="1">DATE(selected_year,5,1)</f>
        <v>46143</v>
      </c>
      <c r="D72" s="106" t="s">
        <v>31</v>
      </c>
      <c r="E72" s="106">
        <f ca="1">MONTH(C72)</f>
        <v>5</v>
      </c>
      <c r="F72" s="106">
        <f ca="1">IF(selected_period="Jahresübersicht", 1, IF(selected_period=cc_month_number,1,0))</f>
        <v>1</v>
      </c>
      <c r="G72" s="106">
        <f>1*$D$45</f>
        <v>1</v>
      </c>
      <c r="H72" s="106">
        <f>1*$D$49</f>
        <v>1</v>
      </c>
      <c r="I72" s="121">
        <f t="array" aca="1" ref="I72" ca="1">SUM(Tracking[Betrag]*(Tracking[Type]=cc_type)*(YEAR(Tracking[Effektiv Datum])=selected_year)*(MONTH(Tracking[Effektiv Datum])=cc_month_number))</f>
        <v>0</v>
      </c>
      <c r="J72" s="107">
        <f t="array" aca="1" ref="J72" ca="1">INDEX('Budget Planning'!$E:$FA,income_total_row,MATCH(DATE(selected_year,cc_month_number,1),'Budget Planning'!$E$9:$FA$9,0))</f>
        <v>0</v>
      </c>
      <c r="K72" s="107">
        <f ca="1">cc_budget-cc_tracked</f>
        <v>0</v>
      </c>
      <c r="L72" s="122">
        <f ca="1">cc_in_focus * cc_show_type * MIN(cc_tracked,cc_budget)</f>
        <v>0</v>
      </c>
      <c r="M72" s="122">
        <f ca="1">cc_in_focus * cc_show_type * cc_show_remaining_budget * IF(cc_delta&gt;0,cc_delta,0)</f>
        <v>0</v>
      </c>
      <c r="N72" s="122">
        <f ca="1">cc_in_focus * cc_show_type * IF(cc_delta&lt;0,ABS(cc_delta),0)</f>
        <v>0</v>
      </c>
      <c r="O72" s="122">
        <f ca="1">NOT(cc_in_focus) * cc_show_type * MIN(cc_tracked,cc_budget)</f>
        <v>0</v>
      </c>
      <c r="P72" s="122">
        <f ca="1">NOT(cc_in_focus) * cc_show_type * cc_show_remaining_budget * IF(cc_delta&gt;0,cc_delta,0)</f>
        <v>0</v>
      </c>
      <c r="Q72" s="122">
        <f ca="1">NOT(cc_in_focus) * cc_show_type * IF(cc_delta&lt;0,ABS(cc_delta),0)</f>
        <v>0</v>
      </c>
      <c r="AB72" s="154" t="e" cm="1">
        <f t="array" ref="AB72">IF(AA72="",NA(),SUMPRODUCT((Tracking[Type]='Budget Dashboard'!$BP$14)*IF('Budget Dashboard'!$BP$15="(Alle)",1,(Tracking[Kategorie]='Budget Dashboard'!$BP$15))*(Tracking[Subkategorie]=AA72)*(YEAR(Tracking[Datum])=selected_year)*IF(selected_period="Jahresübersicht",1,(MONTH(Tracking[Datum])=selected_period))*Tracking[Betrag]))</f>
        <v>#N/A</v>
      </c>
    </row>
    <row r="73" spans="3:28" x14ac:dyDescent="0.3">
      <c r="C73" s="179"/>
      <c r="D73" s="106" t="s">
        <v>8</v>
      </c>
      <c r="E73" s="106">
        <f ca="1">MONTH(C72)</f>
        <v>5</v>
      </c>
      <c r="F73" s="106">
        <f ca="1">IF(selected_period="Jahresübersicht", 1, IF(selected_period=cc_month_number,1,0))</f>
        <v>1</v>
      </c>
      <c r="G73" s="106">
        <f>1*$D$46</f>
        <v>1</v>
      </c>
      <c r="H73" s="106">
        <f>1*$D$49</f>
        <v>1</v>
      </c>
      <c r="I73" s="121">
        <f t="array" aca="1" ref="I73" ca="1">SUM(Tracking[Betrag]*(Tracking[Type]=cc_type)*(YEAR(Tracking[Effektiv Datum])=selected_year)*(MONTH(Tracking[Effektiv Datum])=cc_month_number))</f>
        <v>0</v>
      </c>
      <c r="J73" s="107">
        <f t="array" aca="1" ref="J73" ca="1">INDEX('Budget Planning'!$E:$FA,fixed_costs_total_row,MATCH(DATE(selected_year,cc_month_number,1),'Budget Planning'!$E$9:$FA$9,0))</f>
        <v>0</v>
      </c>
      <c r="K73" s="107">
        <f ca="1">cc_budget-cc_tracked</f>
        <v>0</v>
      </c>
      <c r="L73" s="122">
        <f ca="1">cc_in_focus * cc_show_type * MIN(cc_tracked,cc_budget)</f>
        <v>0</v>
      </c>
      <c r="M73" s="122">
        <f ca="1">cc_in_focus * cc_show_type * cc_show_remaining_budget * IF(cc_delta&gt;0,cc_delta,0)</f>
        <v>0</v>
      </c>
      <c r="N73" s="122">
        <f ca="1">cc_in_focus * cc_show_type * IF(cc_delta&lt;0,ABS(cc_delta),0)</f>
        <v>0</v>
      </c>
      <c r="O73" s="122">
        <f ca="1">NOT(cc_in_focus) * cc_show_type * MIN(cc_tracked,cc_budget)</f>
        <v>0</v>
      </c>
      <c r="P73" s="122">
        <f ca="1">NOT(cc_in_focus) * cc_show_type * cc_show_remaining_budget * IF(cc_delta&gt;0,cc_delta,0)</f>
        <v>0</v>
      </c>
      <c r="Q73" s="122">
        <f ca="1">NOT(cc_in_focus) * cc_show_type * IF(cc_delta&lt;0,ABS(cc_delta),0)</f>
        <v>0</v>
      </c>
    </row>
    <row r="74" spans="3:28" x14ac:dyDescent="0.3">
      <c r="C74" s="179"/>
      <c r="D74" s="106" t="s">
        <v>9</v>
      </c>
      <c r="E74" s="106">
        <f ca="1">MONTH(C72)</f>
        <v>5</v>
      </c>
      <c r="F74" s="106">
        <f ca="1">IF(selected_period="Jahresübersicht", 1, IF(selected_period=cc_month_number,1,0))</f>
        <v>1</v>
      </c>
      <c r="G74" s="106">
        <f>1*$D$47</f>
        <v>1</v>
      </c>
      <c r="H74" s="106">
        <f>1*$D$49</f>
        <v>1</v>
      </c>
      <c r="I74" s="121">
        <f t="array" aca="1" ref="I74" ca="1">SUM(Tracking[Betrag]*(Tracking[Type]=cc_type)*(YEAR(Tracking[Effektiv Datum])=selected_year)*(MONTH(Tracking[Effektiv Datum])=cc_month_number))</f>
        <v>0</v>
      </c>
      <c r="J74" s="107">
        <f t="array" aca="1" ref="J74" ca="1">INDEX('Budget Planning'!$E:$FA,variable_costs_total_row,MATCH(DATE(selected_year,cc_month_number,1),'Budget Planning'!$E$9:$FA$9,0))</f>
        <v>0</v>
      </c>
      <c r="K74" s="107">
        <f ca="1">cc_budget-cc_tracked</f>
        <v>0</v>
      </c>
      <c r="L74" s="122">
        <f ca="1">cc_in_focus * cc_show_type * MIN(cc_tracked,cc_budget)</f>
        <v>0</v>
      </c>
      <c r="M74" s="122">
        <f ca="1">cc_in_focus * cc_show_type * cc_show_remaining_budget * IF(cc_delta&gt;0,cc_delta,0)</f>
        <v>0</v>
      </c>
      <c r="N74" s="122">
        <f ca="1">cc_in_focus * cc_show_type * IF(cc_delta&lt;0,ABS(cc_delta),0)</f>
        <v>0</v>
      </c>
      <c r="O74" s="122">
        <f ca="1">NOT(cc_in_focus) * cc_show_type * MIN(cc_tracked,cc_budget)</f>
        <v>0</v>
      </c>
      <c r="P74" s="122">
        <f ca="1">NOT(cc_in_focus) * cc_show_type * cc_show_remaining_budget * IF(cc_delta&gt;0,cc_delta,0)</f>
        <v>0</v>
      </c>
      <c r="Q74" s="122">
        <f ca="1">NOT(cc_in_focus) * cc_show_type * IF(cc_delta&lt;0,ABS(cc_delta),0)</f>
        <v>0</v>
      </c>
    </row>
    <row r="75" spans="3:28" x14ac:dyDescent="0.3">
      <c r="C75" s="179"/>
      <c r="D75" s="106" t="s">
        <v>12</v>
      </c>
      <c r="E75" s="106">
        <f ca="1">MONTH(C72)</f>
        <v>5</v>
      </c>
      <c r="F75" s="106">
        <f ca="1">IF(selected_period="Jahresübersicht", 1, IF(selected_period=cc_month_number,1,0))</f>
        <v>1</v>
      </c>
      <c r="G75" s="106">
        <f>1*$D$48</f>
        <v>1</v>
      </c>
      <c r="H75" s="106">
        <f>1*$D$49</f>
        <v>1</v>
      </c>
      <c r="I75" s="121">
        <f t="array" aca="1" ref="I75" ca="1">SUM(Tracking[Betrag]*(Tracking[Type]=cc_type)*(YEAR(Tracking[Effektiv Datum])=selected_year)*(MONTH(Tracking[Effektiv Datum])=cc_month_number))</f>
        <v>0</v>
      </c>
      <c r="J75" s="107">
        <f t="array" aca="1" ref="J75" ca="1">INDEX('Budget Planning'!$E:$FA,investment_total_row,MATCH(DATE(selected_year,cc_month_number,1),'Budget Planning'!$E$9:$FA$9,0))</f>
        <v>0</v>
      </c>
      <c r="K75" s="107">
        <f ca="1">cc_budget-cc_tracked</f>
        <v>0</v>
      </c>
      <c r="L75" s="122">
        <f ca="1">cc_in_focus * cc_show_type * MIN(cc_tracked,cc_budget)</f>
        <v>0</v>
      </c>
      <c r="M75" s="122">
        <f ca="1">cc_in_focus * cc_show_type * cc_show_remaining_budget * IF(cc_delta&gt;0,cc_delta,0)</f>
        <v>0</v>
      </c>
      <c r="N75" s="122">
        <f ca="1">cc_in_focus * cc_show_type * IF(cc_delta&lt;0,ABS(cc_delta),0)</f>
        <v>0</v>
      </c>
      <c r="O75" s="122">
        <f ca="1">NOT(cc_in_focus) * cc_show_type * MIN(cc_tracked,cc_budget)</f>
        <v>0</v>
      </c>
      <c r="P75" s="122">
        <f ca="1">NOT(cc_in_focus) * cc_show_type * cc_show_remaining_budget * IF(cc_delta&gt;0,cc_delta,0)</f>
        <v>0</v>
      </c>
      <c r="Q75" s="122">
        <f ca="1">NOT(cc_in_focus) * cc_show_type * IF(cc_delta&lt;0,ABS(cc_delta),0)</f>
        <v>0</v>
      </c>
    </row>
    <row r="76" spans="3:28" x14ac:dyDescent="0.3">
      <c r="C76" s="179"/>
      <c r="D76" s="123"/>
      <c r="E76" s="123"/>
      <c r="F76" s="123"/>
      <c r="G76" s="123"/>
      <c r="H76" s="123"/>
      <c r="I76" s="123"/>
      <c r="J76" s="123"/>
      <c r="K76" s="123"/>
      <c r="L76" s="123"/>
      <c r="M76" s="123"/>
      <c r="N76" s="123"/>
      <c r="O76" s="123"/>
      <c r="P76" s="123"/>
      <c r="Q76" s="123"/>
    </row>
    <row r="77" spans="3:28" x14ac:dyDescent="0.3">
      <c r="C77" s="178">
        <f ca="1">DATE(selected_year,6,1)</f>
        <v>46174</v>
      </c>
      <c r="D77" s="106" t="s">
        <v>31</v>
      </c>
      <c r="E77" s="106">
        <f ca="1">MONTH(C77)</f>
        <v>6</v>
      </c>
      <c r="F77" s="106">
        <f ca="1">IF(selected_period="Jahresübersicht", 1, IF(selected_period=cc_month_number,1,0))</f>
        <v>0</v>
      </c>
      <c r="G77" s="106">
        <f>1*$D$45</f>
        <v>1</v>
      </c>
      <c r="H77" s="106">
        <f>1*$D$49</f>
        <v>1</v>
      </c>
      <c r="I77" s="121">
        <f t="array" aca="1" ref="I77" ca="1">SUM(Tracking[Betrag]*(Tracking[Type]=cc_type)*(YEAR(Tracking[Effektiv Datum])=selected_year)*(MONTH(Tracking[Effektiv Datum])=cc_month_number))</f>
        <v>0</v>
      </c>
      <c r="J77" s="107">
        <f t="array" aca="1" ref="J77" ca="1">INDEX('Budget Planning'!$E:$FA,income_total_row,MATCH(DATE(selected_year,cc_month_number,1),'Budget Planning'!$E$9:$FA$9,0))</f>
        <v>0</v>
      </c>
      <c r="K77" s="107">
        <f ca="1">cc_budget-cc_tracked</f>
        <v>0</v>
      </c>
      <c r="L77" s="122">
        <f ca="1">cc_in_focus * cc_show_type * MIN(cc_tracked,cc_budget)</f>
        <v>0</v>
      </c>
      <c r="M77" s="122">
        <f ca="1">cc_in_focus * cc_show_type * cc_show_remaining_budget * IF(cc_delta&gt;0,cc_delta,0)</f>
        <v>0</v>
      </c>
      <c r="N77" s="122">
        <f ca="1">cc_in_focus * cc_show_type * IF(cc_delta&lt;0,ABS(cc_delta),0)</f>
        <v>0</v>
      </c>
      <c r="O77" s="122">
        <f ca="1">NOT(cc_in_focus) * cc_show_type * MIN(cc_tracked,cc_budget)</f>
        <v>0</v>
      </c>
      <c r="P77" s="122">
        <f ca="1">NOT(cc_in_focus) * cc_show_type * cc_show_remaining_budget * IF(cc_delta&gt;0,cc_delta,0)</f>
        <v>0</v>
      </c>
      <c r="Q77" s="122">
        <f ca="1">NOT(cc_in_focus) * cc_show_type * IF(cc_delta&lt;0,ABS(cc_delta),0)</f>
        <v>0</v>
      </c>
    </row>
    <row r="78" spans="3:28" x14ac:dyDescent="0.3">
      <c r="C78" s="179"/>
      <c r="D78" s="106" t="s">
        <v>8</v>
      </c>
      <c r="E78" s="106">
        <f ca="1">MONTH(C77)</f>
        <v>6</v>
      </c>
      <c r="F78" s="106">
        <f ca="1">IF(selected_period="Jahresübersicht", 1, IF(selected_period=cc_month_number,1,0))</f>
        <v>0</v>
      </c>
      <c r="G78" s="106">
        <f>1*$D$46</f>
        <v>1</v>
      </c>
      <c r="H78" s="106">
        <f>1*$D$49</f>
        <v>1</v>
      </c>
      <c r="I78" s="121">
        <f t="array" aca="1" ref="I78" ca="1">SUM(Tracking[Betrag]*(Tracking[Type]=cc_type)*(YEAR(Tracking[Effektiv Datum])=selected_year)*(MONTH(Tracking[Effektiv Datum])=cc_month_number))</f>
        <v>0</v>
      </c>
      <c r="J78" s="107">
        <f t="array" aca="1" ref="J78" ca="1">INDEX('Budget Planning'!$E:$FA,fixed_costs_total_row,MATCH(DATE(selected_year,cc_month_number,1),'Budget Planning'!$E$9:$FA$9,0))</f>
        <v>0</v>
      </c>
      <c r="K78" s="107">
        <f ca="1">cc_budget-cc_tracked</f>
        <v>0</v>
      </c>
      <c r="L78" s="122">
        <f ca="1">cc_in_focus * cc_show_type * MIN(cc_tracked,cc_budget)</f>
        <v>0</v>
      </c>
      <c r="M78" s="122">
        <f ca="1">cc_in_focus * cc_show_type * cc_show_remaining_budget * IF(cc_delta&gt;0,cc_delta,0)</f>
        <v>0</v>
      </c>
      <c r="N78" s="122">
        <f ca="1">cc_in_focus * cc_show_type * IF(cc_delta&lt;0,ABS(cc_delta),0)</f>
        <v>0</v>
      </c>
      <c r="O78" s="122">
        <f ca="1">NOT(cc_in_focus) * cc_show_type * MIN(cc_tracked,cc_budget)</f>
        <v>0</v>
      </c>
      <c r="P78" s="122">
        <f ca="1">NOT(cc_in_focus) * cc_show_type * cc_show_remaining_budget * IF(cc_delta&gt;0,cc_delta,0)</f>
        <v>0</v>
      </c>
      <c r="Q78" s="122">
        <f ca="1">NOT(cc_in_focus) * cc_show_type * IF(cc_delta&lt;0,ABS(cc_delta),0)</f>
        <v>0</v>
      </c>
    </row>
    <row r="79" spans="3:28" x14ac:dyDescent="0.3">
      <c r="C79" s="179"/>
      <c r="D79" s="106" t="s">
        <v>9</v>
      </c>
      <c r="E79" s="106">
        <f ca="1">MONTH(C77)</f>
        <v>6</v>
      </c>
      <c r="F79" s="106">
        <f ca="1">IF(selected_period="Jahresübersicht", 1, IF(selected_period=cc_month_number,1,0))</f>
        <v>0</v>
      </c>
      <c r="G79" s="106">
        <f>1*$D$47</f>
        <v>1</v>
      </c>
      <c r="H79" s="106">
        <f>1*$D$49</f>
        <v>1</v>
      </c>
      <c r="I79" s="121">
        <f t="array" aca="1" ref="I79" ca="1">SUM(Tracking[Betrag]*(Tracking[Type]=cc_type)*(YEAR(Tracking[Effektiv Datum])=selected_year)*(MONTH(Tracking[Effektiv Datum])=cc_month_number))</f>
        <v>0</v>
      </c>
      <c r="J79" s="107">
        <f t="array" aca="1" ref="J79" ca="1">INDEX('Budget Planning'!$E:$FA,variable_costs_total_row,MATCH(DATE(selected_year,cc_month_number,1),'Budget Planning'!$E$9:$FA$9,0))</f>
        <v>0</v>
      </c>
      <c r="K79" s="107">
        <f ca="1">cc_budget-cc_tracked</f>
        <v>0</v>
      </c>
      <c r="L79" s="122">
        <f ca="1">cc_in_focus * cc_show_type * MIN(cc_tracked,cc_budget)</f>
        <v>0</v>
      </c>
      <c r="M79" s="122">
        <f ca="1">cc_in_focus * cc_show_type * cc_show_remaining_budget * IF(cc_delta&gt;0,cc_delta,0)</f>
        <v>0</v>
      </c>
      <c r="N79" s="122">
        <f ca="1">cc_in_focus * cc_show_type * IF(cc_delta&lt;0,ABS(cc_delta),0)</f>
        <v>0</v>
      </c>
      <c r="O79" s="122">
        <f ca="1">NOT(cc_in_focus) * cc_show_type * MIN(cc_tracked,cc_budget)</f>
        <v>0</v>
      </c>
      <c r="P79" s="122">
        <f ca="1">NOT(cc_in_focus) * cc_show_type * cc_show_remaining_budget * IF(cc_delta&gt;0,cc_delta,0)</f>
        <v>0</v>
      </c>
      <c r="Q79" s="122">
        <f ca="1">NOT(cc_in_focus) * cc_show_type * IF(cc_delta&lt;0,ABS(cc_delta),0)</f>
        <v>0</v>
      </c>
    </row>
    <row r="80" spans="3:28" x14ac:dyDescent="0.3">
      <c r="C80" s="179"/>
      <c r="D80" s="106" t="s">
        <v>12</v>
      </c>
      <c r="E80" s="106">
        <f ca="1">MONTH(C77)</f>
        <v>6</v>
      </c>
      <c r="F80" s="106">
        <f ca="1">IF(selected_period="Jahresübersicht", 1, IF(selected_period=cc_month_number,1,0))</f>
        <v>0</v>
      </c>
      <c r="G80" s="106">
        <f>1*$D$48</f>
        <v>1</v>
      </c>
      <c r="H80" s="106">
        <f>1*$D$49</f>
        <v>1</v>
      </c>
      <c r="I80" s="121">
        <f t="array" aca="1" ref="I80" ca="1">SUM(Tracking[Betrag]*(Tracking[Type]=cc_type)*(YEAR(Tracking[Effektiv Datum])=selected_year)*(MONTH(Tracking[Effektiv Datum])=cc_month_number))</f>
        <v>0</v>
      </c>
      <c r="J80" s="107">
        <f t="array" aca="1" ref="J80" ca="1">INDEX('Budget Planning'!$E:$FA,investment_total_row,MATCH(DATE(selected_year,cc_month_number,1),'Budget Planning'!$E$9:$FA$9,0))</f>
        <v>0</v>
      </c>
      <c r="K80" s="107">
        <f ca="1">cc_budget-cc_tracked</f>
        <v>0</v>
      </c>
      <c r="L80" s="122">
        <f ca="1">cc_in_focus * cc_show_type * MIN(cc_tracked,cc_budget)</f>
        <v>0</v>
      </c>
      <c r="M80" s="122">
        <f ca="1">cc_in_focus * cc_show_type * cc_show_remaining_budget * IF(cc_delta&gt;0,cc_delta,0)</f>
        <v>0</v>
      </c>
      <c r="N80" s="122">
        <f ca="1">cc_in_focus * cc_show_type * IF(cc_delta&lt;0,ABS(cc_delta),0)</f>
        <v>0</v>
      </c>
      <c r="O80" s="122">
        <f ca="1">NOT(cc_in_focus) * cc_show_type * MIN(cc_tracked,cc_budget)</f>
        <v>0</v>
      </c>
      <c r="P80" s="122">
        <f ca="1">NOT(cc_in_focus) * cc_show_type * cc_show_remaining_budget * IF(cc_delta&gt;0,cc_delta,0)</f>
        <v>0</v>
      </c>
      <c r="Q80" s="122">
        <f ca="1">NOT(cc_in_focus) * cc_show_type * IF(cc_delta&lt;0,ABS(cc_delta),0)</f>
        <v>0</v>
      </c>
    </row>
    <row r="81" spans="3:17" x14ac:dyDescent="0.3">
      <c r="C81" s="179"/>
      <c r="D81" s="123"/>
      <c r="E81" s="123"/>
      <c r="F81" s="123"/>
      <c r="G81" s="123"/>
      <c r="H81" s="123"/>
      <c r="I81" s="123"/>
      <c r="J81" s="123"/>
      <c r="K81" s="123"/>
      <c r="L81" s="123"/>
      <c r="M81" s="123"/>
      <c r="N81" s="123"/>
      <c r="O81" s="123"/>
      <c r="P81" s="123"/>
      <c r="Q81" s="123"/>
    </row>
    <row r="82" spans="3:17" x14ac:dyDescent="0.3">
      <c r="C82" s="178">
        <f ca="1">DATE(selected_year,7,1)</f>
        <v>46204</v>
      </c>
      <c r="D82" s="106" t="s">
        <v>31</v>
      </c>
      <c r="E82" s="106">
        <f ca="1">MONTH(C82)</f>
        <v>7</v>
      </c>
      <c r="F82" s="106">
        <f ca="1">IF(selected_period="Jahresübersicht", 1, IF(selected_period=cc_month_number,1,0))</f>
        <v>0</v>
      </c>
      <c r="G82" s="106">
        <f>1*$D$45</f>
        <v>1</v>
      </c>
      <c r="H82" s="106">
        <f>1*$D$49</f>
        <v>1</v>
      </c>
      <c r="I82" s="121">
        <f t="array" aca="1" ref="I82" ca="1">SUM(Tracking[Betrag]*(Tracking[Type]=cc_type)*(YEAR(Tracking[Effektiv Datum])=selected_year)*(MONTH(Tracking[Effektiv Datum])=cc_month_number))</f>
        <v>0</v>
      </c>
      <c r="J82" s="107">
        <f t="array" aca="1" ref="J82" ca="1">INDEX('Budget Planning'!$E:$FA,income_total_row,MATCH(DATE(selected_year,cc_month_number,1),'Budget Planning'!$E$9:$FA$9,0))</f>
        <v>0</v>
      </c>
      <c r="K82" s="107">
        <f ca="1">cc_budget-cc_tracked</f>
        <v>0</v>
      </c>
      <c r="L82" s="122">
        <f ca="1">cc_in_focus * cc_show_type * MIN(cc_tracked,cc_budget)</f>
        <v>0</v>
      </c>
      <c r="M82" s="122">
        <f ca="1">cc_in_focus * cc_show_type * cc_show_remaining_budget * IF(cc_delta&gt;0,cc_delta,0)</f>
        <v>0</v>
      </c>
      <c r="N82" s="122">
        <f ca="1">cc_in_focus * cc_show_type * IF(cc_delta&lt;0,ABS(cc_delta),0)</f>
        <v>0</v>
      </c>
      <c r="O82" s="122">
        <f ca="1">NOT(cc_in_focus) * cc_show_type * MIN(cc_tracked,cc_budget)</f>
        <v>0</v>
      </c>
      <c r="P82" s="122">
        <f ca="1">NOT(cc_in_focus) * cc_show_type * cc_show_remaining_budget * IF(cc_delta&gt;0,cc_delta,0)</f>
        <v>0</v>
      </c>
      <c r="Q82" s="122">
        <f ca="1">NOT(cc_in_focus) * cc_show_type * IF(cc_delta&lt;0,ABS(cc_delta),0)</f>
        <v>0</v>
      </c>
    </row>
    <row r="83" spans="3:17" x14ac:dyDescent="0.3">
      <c r="C83" s="179"/>
      <c r="D83" s="106" t="s">
        <v>8</v>
      </c>
      <c r="E83" s="106">
        <f ca="1">MONTH(C82)</f>
        <v>7</v>
      </c>
      <c r="F83" s="106">
        <f ca="1">IF(selected_period="Jahresübersicht", 1, IF(selected_period=cc_month_number,1,0))</f>
        <v>0</v>
      </c>
      <c r="G83" s="106">
        <f>1*$D$46</f>
        <v>1</v>
      </c>
      <c r="H83" s="106">
        <f>1*$D$49</f>
        <v>1</v>
      </c>
      <c r="I83" s="121">
        <f t="array" aca="1" ref="I83" ca="1">SUM(Tracking[Betrag]*(Tracking[Type]=cc_type)*(YEAR(Tracking[Effektiv Datum])=selected_year)*(MONTH(Tracking[Effektiv Datum])=cc_month_number))</f>
        <v>0</v>
      </c>
      <c r="J83" s="107">
        <f t="array" aca="1" ref="J83" ca="1">INDEX('Budget Planning'!$E:$FA,fixed_costs_total_row,MATCH(DATE(selected_year,cc_month_number,1),'Budget Planning'!$E$9:$FA$9,0))</f>
        <v>0</v>
      </c>
      <c r="K83" s="107">
        <f ca="1">cc_budget-cc_tracked</f>
        <v>0</v>
      </c>
      <c r="L83" s="122">
        <f ca="1">cc_in_focus * cc_show_type * MIN(cc_tracked,cc_budget)</f>
        <v>0</v>
      </c>
      <c r="M83" s="122">
        <f ca="1">cc_in_focus * cc_show_type * cc_show_remaining_budget * IF(cc_delta&gt;0,cc_delta,0)</f>
        <v>0</v>
      </c>
      <c r="N83" s="122">
        <f ca="1">cc_in_focus * cc_show_type * IF(cc_delta&lt;0,ABS(cc_delta),0)</f>
        <v>0</v>
      </c>
      <c r="O83" s="122">
        <f ca="1">NOT(cc_in_focus) * cc_show_type * MIN(cc_tracked,cc_budget)</f>
        <v>0</v>
      </c>
      <c r="P83" s="122">
        <f ca="1">NOT(cc_in_focus) * cc_show_type * cc_show_remaining_budget * IF(cc_delta&gt;0,cc_delta,0)</f>
        <v>0</v>
      </c>
      <c r="Q83" s="122">
        <f ca="1">NOT(cc_in_focus) * cc_show_type * IF(cc_delta&lt;0,ABS(cc_delta),0)</f>
        <v>0</v>
      </c>
    </row>
    <row r="84" spans="3:17" x14ac:dyDescent="0.3">
      <c r="C84" s="179"/>
      <c r="D84" s="106" t="s">
        <v>9</v>
      </c>
      <c r="E84" s="106">
        <f ca="1">MONTH(C82)</f>
        <v>7</v>
      </c>
      <c r="F84" s="106">
        <f ca="1">IF(selected_period="Jahresübersicht", 1, IF(selected_period=cc_month_number,1,0))</f>
        <v>0</v>
      </c>
      <c r="G84" s="106">
        <f>1*$D$47</f>
        <v>1</v>
      </c>
      <c r="H84" s="106">
        <f>1*$D$49</f>
        <v>1</v>
      </c>
      <c r="I84" s="121">
        <f t="array" aca="1" ref="I84" ca="1">SUM(Tracking[Betrag]*(Tracking[Type]=cc_type)*(YEAR(Tracking[Effektiv Datum])=selected_year)*(MONTH(Tracking[Effektiv Datum])=cc_month_number))</f>
        <v>0</v>
      </c>
      <c r="J84" s="107">
        <f t="array" aca="1" ref="J84" ca="1">INDEX('Budget Planning'!$E:$FA,variable_costs_total_row,MATCH(DATE(selected_year,cc_month_number,1),'Budget Planning'!$E$9:$FA$9,0))</f>
        <v>0</v>
      </c>
      <c r="K84" s="107">
        <f ca="1">cc_budget-cc_tracked</f>
        <v>0</v>
      </c>
      <c r="L84" s="122">
        <f ca="1">cc_in_focus * cc_show_type * MIN(cc_tracked,cc_budget)</f>
        <v>0</v>
      </c>
      <c r="M84" s="122">
        <f ca="1">cc_in_focus * cc_show_type * cc_show_remaining_budget * IF(cc_delta&gt;0,cc_delta,0)</f>
        <v>0</v>
      </c>
      <c r="N84" s="122">
        <f ca="1">cc_in_focus * cc_show_type * IF(cc_delta&lt;0,ABS(cc_delta),0)</f>
        <v>0</v>
      </c>
      <c r="O84" s="122">
        <f ca="1">NOT(cc_in_focus) * cc_show_type * MIN(cc_tracked,cc_budget)</f>
        <v>0</v>
      </c>
      <c r="P84" s="122">
        <f ca="1">NOT(cc_in_focus) * cc_show_type * cc_show_remaining_budget * IF(cc_delta&gt;0,cc_delta,0)</f>
        <v>0</v>
      </c>
      <c r="Q84" s="122">
        <f ca="1">NOT(cc_in_focus) * cc_show_type * IF(cc_delta&lt;0,ABS(cc_delta),0)</f>
        <v>0</v>
      </c>
    </row>
    <row r="85" spans="3:17" x14ac:dyDescent="0.3">
      <c r="C85" s="179"/>
      <c r="D85" s="106" t="s">
        <v>12</v>
      </c>
      <c r="E85" s="106">
        <f ca="1">MONTH(C82)</f>
        <v>7</v>
      </c>
      <c r="F85" s="106">
        <f ca="1">IF(selected_period="Jahresübersicht", 1, IF(selected_period=cc_month_number,1,0))</f>
        <v>0</v>
      </c>
      <c r="G85" s="106">
        <f>1*$D$48</f>
        <v>1</v>
      </c>
      <c r="H85" s="106">
        <f>1*$D$49</f>
        <v>1</v>
      </c>
      <c r="I85" s="121">
        <f t="array" aca="1" ref="I85" ca="1">SUM(Tracking[Betrag]*(Tracking[Type]=cc_type)*(YEAR(Tracking[Effektiv Datum])=selected_year)*(MONTH(Tracking[Effektiv Datum])=cc_month_number))</f>
        <v>0</v>
      </c>
      <c r="J85" s="107">
        <f t="array" aca="1" ref="J85" ca="1">INDEX('Budget Planning'!$E:$FA,investment_total_row,MATCH(DATE(selected_year,cc_month_number,1),'Budget Planning'!$E$9:$FA$9,0))</f>
        <v>0</v>
      </c>
      <c r="K85" s="107">
        <f ca="1">cc_budget-cc_tracked</f>
        <v>0</v>
      </c>
      <c r="L85" s="122">
        <f ca="1">cc_in_focus * cc_show_type * MIN(cc_tracked,cc_budget)</f>
        <v>0</v>
      </c>
      <c r="M85" s="122">
        <f ca="1">cc_in_focus * cc_show_type * cc_show_remaining_budget * IF(cc_delta&gt;0,cc_delta,0)</f>
        <v>0</v>
      </c>
      <c r="N85" s="122">
        <f ca="1">cc_in_focus * cc_show_type * IF(cc_delta&lt;0,ABS(cc_delta),0)</f>
        <v>0</v>
      </c>
      <c r="O85" s="122">
        <f ca="1">NOT(cc_in_focus) * cc_show_type * MIN(cc_tracked,cc_budget)</f>
        <v>0</v>
      </c>
      <c r="P85" s="122">
        <f ca="1">NOT(cc_in_focus) * cc_show_type * cc_show_remaining_budget * IF(cc_delta&gt;0,cc_delta,0)</f>
        <v>0</v>
      </c>
      <c r="Q85" s="122">
        <f ca="1">NOT(cc_in_focus) * cc_show_type * IF(cc_delta&lt;0,ABS(cc_delta),0)</f>
        <v>0</v>
      </c>
    </row>
    <row r="86" spans="3:17" x14ac:dyDescent="0.3">
      <c r="C86" s="179"/>
      <c r="D86" s="123"/>
      <c r="E86" s="123"/>
      <c r="F86" s="123"/>
      <c r="G86" s="123"/>
      <c r="H86" s="123"/>
      <c r="I86" s="123"/>
      <c r="J86" s="123"/>
      <c r="K86" s="123"/>
      <c r="L86" s="123"/>
      <c r="M86" s="123"/>
      <c r="N86" s="123"/>
      <c r="O86" s="123"/>
      <c r="P86" s="123"/>
      <c r="Q86" s="123"/>
    </row>
    <row r="87" spans="3:17" x14ac:dyDescent="0.3">
      <c r="C87" s="178">
        <f ca="1">DATE(selected_year,8,1)</f>
        <v>46235</v>
      </c>
      <c r="D87" s="106" t="s">
        <v>31</v>
      </c>
      <c r="E87" s="106">
        <f ca="1">MONTH(C87)</f>
        <v>8</v>
      </c>
      <c r="F87" s="106">
        <f ca="1">IF(selected_period="Jahresübersicht", 1, IF(selected_period=cc_month_number,1,0))</f>
        <v>0</v>
      </c>
      <c r="G87" s="106">
        <f>1*$D$45</f>
        <v>1</v>
      </c>
      <c r="H87" s="106">
        <f>1*$D$49</f>
        <v>1</v>
      </c>
      <c r="I87" s="121">
        <f t="array" aca="1" ref="I87" ca="1">SUM(Tracking[Betrag]*(Tracking[Type]=cc_type)*(YEAR(Tracking[Effektiv Datum])=selected_year)*(MONTH(Tracking[Effektiv Datum])=cc_month_number))</f>
        <v>0</v>
      </c>
      <c r="J87" s="107">
        <f t="array" aca="1" ref="J87" ca="1">INDEX('Budget Planning'!$E:$FA,income_total_row,MATCH(DATE(selected_year,cc_month_number,1),'Budget Planning'!$E$9:$FA$9,0))</f>
        <v>0</v>
      </c>
      <c r="K87" s="107">
        <f ca="1">cc_budget-cc_tracked</f>
        <v>0</v>
      </c>
      <c r="L87" s="122">
        <f ca="1">cc_in_focus * cc_show_type * MIN(cc_tracked,cc_budget)</f>
        <v>0</v>
      </c>
      <c r="M87" s="122">
        <f ca="1">cc_in_focus * cc_show_type * cc_show_remaining_budget * IF(cc_delta&gt;0,cc_delta,0)</f>
        <v>0</v>
      </c>
      <c r="N87" s="122">
        <f ca="1">cc_in_focus * cc_show_type * IF(cc_delta&lt;0,ABS(cc_delta),0)</f>
        <v>0</v>
      </c>
      <c r="O87" s="122">
        <f ca="1">NOT(cc_in_focus) * cc_show_type * MIN(cc_tracked,cc_budget)</f>
        <v>0</v>
      </c>
      <c r="P87" s="122">
        <f ca="1">NOT(cc_in_focus) * cc_show_type * cc_show_remaining_budget * IF(cc_delta&gt;0,cc_delta,0)</f>
        <v>0</v>
      </c>
      <c r="Q87" s="122">
        <f ca="1">NOT(cc_in_focus) * cc_show_type * IF(cc_delta&lt;0,ABS(cc_delta),0)</f>
        <v>0</v>
      </c>
    </row>
    <row r="88" spans="3:17" x14ac:dyDescent="0.3">
      <c r="C88" s="179"/>
      <c r="D88" s="106" t="s">
        <v>8</v>
      </c>
      <c r="E88" s="106">
        <f ca="1">MONTH(C87)</f>
        <v>8</v>
      </c>
      <c r="F88" s="106">
        <f ca="1">IF(selected_period="Jahresübersicht", 1, IF(selected_period=cc_month_number,1,0))</f>
        <v>0</v>
      </c>
      <c r="G88" s="106">
        <f>1*$D$46</f>
        <v>1</v>
      </c>
      <c r="H88" s="106">
        <f>1*$D$49</f>
        <v>1</v>
      </c>
      <c r="I88" s="121">
        <f t="array" aca="1" ref="I88" ca="1">SUM(Tracking[Betrag]*(Tracking[Type]=cc_type)*(YEAR(Tracking[Effektiv Datum])=selected_year)*(MONTH(Tracking[Effektiv Datum])=cc_month_number))</f>
        <v>0</v>
      </c>
      <c r="J88" s="107">
        <f t="array" aca="1" ref="J88" ca="1">INDEX('Budget Planning'!$E:$FA,fixed_costs_total_row,MATCH(DATE(selected_year,cc_month_number,1),'Budget Planning'!$E$9:$FA$9,0))</f>
        <v>0</v>
      </c>
      <c r="K88" s="107">
        <f ca="1">cc_budget-cc_tracked</f>
        <v>0</v>
      </c>
      <c r="L88" s="122">
        <f ca="1">cc_in_focus * cc_show_type * MIN(cc_tracked,cc_budget)</f>
        <v>0</v>
      </c>
      <c r="M88" s="122">
        <f ca="1">cc_in_focus * cc_show_type * cc_show_remaining_budget * IF(cc_delta&gt;0,cc_delta,0)</f>
        <v>0</v>
      </c>
      <c r="N88" s="122">
        <f ca="1">cc_in_focus * cc_show_type * IF(cc_delta&lt;0,ABS(cc_delta),0)</f>
        <v>0</v>
      </c>
      <c r="O88" s="122">
        <f ca="1">NOT(cc_in_focus) * cc_show_type * MIN(cc_tracked,cc_budget)</f>
        <v>0</v>
      </c>
      <c r="P88" s="122">
        <f ca="1">NOT(cc_in_focus) * cc_show_type * cc_show_remaining_budget * IF(cc_delta&gt;0,cc_delta,0)</f>
        <v>0</v>
      </c>
      <c r="Q88" s="122">
        <f ca="1">NOT(cc_in_focus) * cc_show_type * IF(cc_delta&lt;0,ABS(cc_delta),0)</f>
        <v>0</v>
      </c>
    </row>
    <row r="89" spans="3:17" x14ac:dyDescent="0.3">
      <c r="C89" s="179"/>
      <c r="D89" s="106" t="s">
        <v>9</v>
      </c>
      <c r="E89" s="106">
        <f ca="1">MONTH(C87)</f>
        <v>8</v>
      </c>
      <c r="F89" s="106">
        <f ca="1">IF(selected_period="Jahresübersicht", 1, IF(selected_period=cc_month_number,1,0))</f>
        <v>0</v>
      </c>
      <c r="G89" s="106">
        <f>1*$D$47</f>
        <v>1</v>
      </c>
      <c r="H89" s="106">
        <f>1*$D$49</f>
        <v>1</v>
      </c>
      <c r="I89" s="121">
        <f t="array" aca="1" ref="I89" ca="1">SUM(Tracking[Betrag]*(Tracking[Type]=cc_type)*(YEAR(Tracking[Effektiv Datum])=selected_year)*(MONTH(Tracking[Effektiv Datum])=cc_month_number))</f>
        <v>0</v>
      </c>
      <c r="J89" s="107">
        <f t="array" aca="1" ref="J89" ca="1">INDEX('Budget Planning'!$E:$FA,variable_costs_total_row,MATCH(DATE(selected_year,cc_month_number,1),'Budget Planning'!$E$9:$FA$9,0))</f>
        <v>0</v>
      </c>
      <c r="K89" s="107">
        <f ca="1">cc_budget-cc_tracked</f>
        <v>0</v>
      </c>
      <c r="L89" s="122">
        <f ca="1">cc_in_focus * cc_show_type * MIN(cc_tracked,cc_budget)</f>
        <v>0</v>
      </c>
      <c r="M89" s="122">
        <f ca="1">cc_in_focus * cc_show_type * cc_show_remaining_budget * IF(cc_delta&gt;0,cc_delta,0)</f>
        <v>0</v>
      </c>
      <c r="N89" s="122">
        <f ca="1">cc_in_focus * cc_show_type * IF(cc_delta&lt;0,ABS(cc_delta),0)</f>
        <v>0</v>
      </c>
      <c r="O89" s="122">
        <f ca="1">NOT(cc_in_focus) * cc_show_type * MIN(cc_tracked,cc_budget)</f>
        <v>0</v>
      </c>
      <c r="P89" s="122">
        <f ca="1">NOT(cc_in_focus) * cc_show_type * cc_show_remaining_budget * IF(cc_delta&gt;0,cc_delta,0)</f>
        <v>0</v>
      </c>
      <c r="Q89" s="122">
        <f ca="1">NOT(cc_in_focus) * cc_show_type * IF(cc_delta&lt;0,ABS(cc_delta),0)</f>
        <v>0</v>
      </c>
    </row>
    <row r="90" spans="3:17" x14ac:dyDescent="0.3">
      <c r="C90" s="179"/>
      <c r="D90" s="106" t="s">
        <v>12</v>
      </c>
      <c r="E90" s="106">
        <f ca="1">MONTH(C87)</f>
        <v>8</v>
      </c>
      <c r="F90" s="106">
        <f ca="1">IF(selected_period="Jahresübersicht", 1, IF(selected_period=cc_month_number,1,0))</f>
        <v>0</v>
      </c>
      <c r="G90" s="106">
        <f>1*$D$48</f>
        <v>1</v>
      </c>
      <c r="H90" s="106">
        <f>1*$D$49</f>
        <v>1</v>
      </c>
      <c r="I90" s="121">
        <f t="array" aca="1" ref="I90" ca="1">SUM(Tracking[Betrag]*(Tracking[Type]=cc_type)*(YEAR(Tracking[Effektiv Datum])=selected_year)*(MONTH(Tracking[Effektiv Datum])=cc_month_number))</f>
        <v>0</v>
      </c>
      <c r="J90" s="107">
        <f t="array" aca="1" ref="J90" ca="1">INDEX('Budget Planning'!$E:$FA,investment_total_row,MATCH(DATE(selected_year,cc_month_number,1),'Budget Planning'!$E$9:$FA$9,0))</f>
        <v>0</v>
      </c>
      <c r="K90" s="107">
        <f ca="1">cc_budget-cc_tracked</f>
        <v>0</v>
      </c>
      <c r="L90" s="122">
        <f ca="1">cc_in_focus * cc_show_type * MIN(cc_tracked,cc_budget)</f>
        <v>0</v>
      </c>
      <c r="M90" s="122">
        <f ca="1">cc_in_focus * cc_show_type * cc_show_remaining_budget * IF(cc_delta&gt;0,cc_delta,0)</f>
        <v>0</v>
      </c>
      <c r="N90" s="122">
        <f ca="1">cc_in_focus * cc_show_type * IF(cc_delta&lt;0,ABS(cc_delta),0)</f>
        <v>0</v>
      </c>
      <c r="O90" s="122">
        <f ca="1">NOT(cc_in_focus) * cc_show_type * MIN(cc_tracked,cc_budget)</f>
        <v>0</v>
      </c>
      <c r="P90" s="122">
        <f ca="1">NOT(cc_in_focus) * cc_show_type * cc_show_remaining_budget * IF(cc_delta&gt;0,cc_delta,0)</f>
        <v>0</v>
      </c>
      <c r="Q90" s="122">
        <f ca="1">NOT(cc_in_focus) * cc_show_type * IF(cc_delta&lt;0,ABS(cc_delta),0)</f>
        <v>0</v>
      </c>
    </row>
    <row r="91" spans="3:17" x14ac:dyDescent="0.3">
      <c r="C91" s="179"/>
      <c r="D91" s="123"/>
      <c r="E91" s="123"/>
      <c r="F91" s="123"/>
      <c r="G91" s="123"/>
      <c r="H91" s="123"/>
      <c r="I91" s="123"/>
      <c r="J91" s="123"/>
      <c r="K91" s="123"/>
      <c r="L91" s="123"/>
      <c r="M91" s="123"/>
      <c r="N91" s="123"/>
      <c r="O91" s="123"/>
      <c r="P91" s="123"/>
      <c r="Q91" s="123"/>
    </row>
    <row r="92" spans="3:17" x14ac:dyDescent="0.3">
      <c r="C92" s="178">
        <f ca="1">DATE(selected_year,9,1)</f>
        <v>46266</v>
      </c>
      <c r="D92" s="106" t="s">
        <v>31</v>
      </c>
      <c r="E92" s="106">
        <f ca="1">MONTH(C92)</f>
        <v>9</v>
      </c>
      <c r="F92" s="106">
        <f ca="1">IF(selected_period="Jahresübersicht", 1, IF(selected_period=cc_month_number,1,0))</f>
        <v>0</v>
      </c>
      <c r="G92" s="106">
        <f>1*$D$45</f>
        <v>1</v>
      </c>
      <c r="H92" s="106">
        <f>1*$D$49</f>
        <v>1</v>
      </c>
      <c r="I92" s="121">
        <f t="array" aca="1" ref="I92" ca="1">SUM(Tracking[Betrag]*(Tracking[Type]=cc_type)*(YEAR(Tracking[Effektiv Datum])=selected_year)*(MONTH(Tracking[Effektiv Datum])=cc_month_number))</f>
        <v>0</v>
      </c>
      <c r="J92" s="107">
        <f t="array" aca="1" ref="J92" ca="1">INDEX('Budget Planning'!$E:$FA,income_total_row,MATCH(DATE(selected_year,cc_month_number,1),'Budget Planning'!$E$9:$FA$9,0))</f>
        <v>0</v>
      </c>
      <c r="K92" s="107">
        <f ca="1">cc_budget-cc_tracked</f>
        <v>0</v>
      </c>
      <c r="L92" s="122">
        <f ca="1">cc_in_focus * cc_show_type * MIN(cc_tracked,cc_budget)</f>
        <v>0</v>
      </c>
      <c r="M92" s="122">
        <f ca="1">cc_in_focus * cc_show_type * cc_show_remaining_budget * IF(cc_delta&gt;0,cc_delta,0)</f>
        <v>0</v>
      </c>
      <c r="N92" s="122">
        <f ca="1">cc_in_focus * cc_show_type * IF(cc_delta&lt;0,ABS(cc_delta),0)</f>
        <v>0</v>
      </c>
      <c r="O92" s="122">
        <f ca="1">NOT(cc_in_focus) * cc_show_type * MIN(cc_tracked,cc_budget)</f>
        <v>0</v>
      </c>
      <c r="P92" s="122">
        <f ca="1">NOT(cc_in_focus) * cc_show_type * cc_show_remaining_budget * IF(cc_delta&gt;0,cc_delta,0)</f>
        <v>0</v>
      </c>
      <c r="Q92" s="122">
        <f ca="1">NOT(cc_in_focus) * cc_show_type * IF(cc_delta&lt;0,ABS(cc_delta),0)</f>
        <v>0</v>
      </c>
    </row>
    <row r="93" spans="3:17" x14ac:dyDescent="0.3">
      <c r="C93" s="179"/>
      <c r="D93" s="106" t="s">
        <v>8</v>
      </c>
      <c r="E93" s="106">
        <f ca="1">MONTH(C92)</f>
        <v>9</v>
      </c>
      <c r="F93" s="106">
        <f ca="1">IF(selected_period="Jahresübersicht", 1, IF(selected_period=cc_month_number,1,0))</f>
        <v>0</v>
      </c>
      <c r="G93" s="106">
        <f>1*$D$46</f>
        <v>1</v>
      </c>
      <c r="H93" s="106">
        <f>1*$D$49</f>
        <v>1</v>
      </c>
      <c r="I93" s="121">
        <f t="array" aca="1" ref="I93" ca="1">SUM(Tracking[Betrag]*(Tracking[Type]=cc_type)*(YEAR(Tracking[Effektiv Datum])=selected_year)*(MONTH(Tracking[Effektiv Datum])=cc_month_number))</f>
        <v>0</v>
      </c>
      <c r="J93" s="107">
        <f t="array" aca="1" ref="J93" ca="1">INDEX('Budget Planning'!$E:$FA,fixed_costs_total_row,MATCH(DATE(selected_year,cc_month_number,1),'Budget Planning'!$E$9:$FA$9,0))</f>
        <v>0</v>
      </c>
      <c r="K93" s="107">
        <f ca="1">cc_budget-cc_tracked</f>
        <v>0</v>
      </c>
      <c r="L93" s="122">
        <f ca="1">cc_in_focus * cc_show_type * MIN(cc_tracked,cc_budget)</f>
        <v>0</v>
      </c>
      <c r="M93" s="122">
        <f ca="1">cc_in_focus * cc_show_type * cc_show_remaining_budget * IF(cc_delta&gt;0,cc_delta,0)</f>
        <v>0</v>
      </c>
      <c r="N93" s="122">
        <f ca="1">cc_in_focus * cc_show_type * IF(cc_delta&lt;0,ABS(cc_delta),0)</f>
        <v>0</v>
      </c>
      <c r="O93" s="122">
        <f ca="1">NOT(cc_in_focus) * cc_show_type * MIN(cc_tracked,cc_budget)</f>
        <v>0</v>
      </c>
      <c r="P93" s="122">
        <f ca="1">NOT(cc_in_focus) * cc_show_type * cc_show_remaining_budget * IF(cc_delta&gt;0,cc_delta,0)</f>
        <v>0</v>
      </c>
      <c r="Q93" s="122">
        <f ca="1">NOT(cc_in_focus) * cc_show_type * IF(cc_delta&lt;0,ABS(cc_delta),0)</f>
        <v>0</v>
      </c>
    </row>
    <row r="94" spans="3:17" x14ac:dyDescent="0.3">
      <c r="C94" s="179"/>
      <c r="D94" s="106" t="s">
        <v>9</v>
      </c>
      <c r="E94" s="106">
        <f ca="1">MONTH(C92)</f>
        <v>9</v>
      </c>
      <c r="F94" s="106">
        <f ca="1">IF(selected_period="Jahresübersicht", 1, IF(selected_period=cc_month_number,1,0))</f>
        <v>0</v>
      </c>
      <c r="G94" s="106">
        <f>1*$D$47</f>
        <v>1</v>
      </c>
      <c r="H94" s="106">
        <f>1*$D$49</f>
        <v>1</v>
      </c>
      <c r="I94" s="121">
        <f t="array" aca="1" ref="I94" ca="1">SUM(Tracking[Betrag]*(Tracking[Type]=cc_type)*(YEAR(Tracking[Effektiv Datum])=selected_year)*(MONTH(Tracking[Effektiv Datum])=cc_month_number))</f>
        <v>0</v>
      </c>
      <c r="J94" s="107">
        <f t="array" aca="1" ref="J94" ca="1">INDEX('Budget Planning'!$E:$FA,variable_costs_total_row,MATCH(DATE(selected_year,cc_month_number,1),'Budget Planning'!$E$9:$FA$9,0))</f>
        <v>0</v>
      </c>
      <c r="K94" s="107">
        <f ca="1">cc_budget-cc_tracked</f>
        <v>0</v>
      </c>
      <c r="L94" s="122">
        <f ca="1">cc_in_focus * cc_show_type * MIN(cc_tracked,cc_budget)</f>
        <v>0</v>
      </c>
      <c r="M94" s="122">
        <f ca="1">cc_in_focus * cc_show_type * cc_show_remaining_budget * IF(cc_delta&gt;0,cc_delta,0)</f>
        <v>0</v>
      </c>
      <c r="N94" s="122">
        <f ca="1">cc_in_focus * cc_show_type * IF(cc_delta&lt;0,ABS(cc_delta),0)</f>
        <v>0</v>
      </c>
      <c r="O94" s="122">
        <f ca="1">NOT(cc_in_focus) * cc_show_type * MIN(cc_tracked,cc_budget)</f>
        <v>0</v>
      </c>
      <c r="P94" s="122">
        <f ca="1">NOT(cc_in_focus) * cc_show_type * cc_show_remaining_budget * IF(cc_delta&gt;0,cc_delta,0)</f>
        <v>0</v>
      </c>
      <c r="Q94" s="122">
        <f ca="1">NOT(cc_in_focus) * cc_show_type * IF(cc_delta&lt;0,ABS(cc_delta),0)</f>
        <v>0</v>
      </c>
    </row>
    <row r="95" spans="3:17" x14ac:dyDescent="0.3">
      <c r="C95" s="179"/>
      <c r="D95" s="106" t="s">
        <v>12</v>
      </c>
      <c r="E95" s="106">
        <f ca="1">MONTH(C92)</f>
        <v>9</v>
      </c>
      <c r="F95" s="106">
        <f ca="1">IF(selected_period="Jahresübersicht", 1, IF(selected_period=cc_month_number,1,0))</f>
        <v>0</v>
      </c>
      <c r="G95" s="106">
        <f>1*$D$48</f>
        <v>1</v>
      </c>
      <c r="H95" s="106">
        <f>1*$D$49</f>
        <v>1</v>
      </c>
      <c r="I95" s="121">
        <f t="array" aca="1" ref="I95" ca="1">SUM(Tracking[Betrag]*(Tracking[Type]=cc_type)*(YEAR(Tracking[Effektiv Datum])=selected_year)*(MONTH(Tracking[Effektiv Datum])=cc_month_number))</f>
        <v>0</v>
      </c>
      <c r="J95" s="107">
        <f t="array" aca="1" ref="J95" ca="1">INDEX('Budget Planning'!$E:$FA,investment_total_row,MATCH(DATE(selected_year,cc_month_number,1),'Budget Planning'!$E$9:$FA$9,0))</f>
        <v>0</v>
      </c>
      <c r="K95" s="107">
        <f ca="1">cc_budget-cc_tracked</f>
        <v>0</v>
      </c>
      <c r="L95" s="122">
        <f ca="1">cc_in_focus * cc_show_type * MIN(cc_tracked,cc_budget)</f>
        <v>0</v>
      </c>
      <c r="M95" s="122">
        <f ca="1">cc_in_focus * cc_show_type * cc_show_remaining_budget * IF(cc_delta&gt;0,cc_delta,0)</f>
        <v>0</v>
      </c>
      <c r="N95" s="122">
        <f ca="1">cc_in_focus * cc_show_type * IF(cc_delta&lt;0,ABS(cc_delta),0)</f>
        <v>0</v>
      </c>
      <c r="O95" s="122">
        <f ca="1">NOT(cc_in_focus) * cc_show_type * MIN(cc_tracked,cc_budget)</f>
        <v>0</v>
      </c>
      <c r="P95" s="122">
        <f ca="1">NOT(cc_in_focus) * cc_show_type * cc_show_remaining_budget * IF(cc_delta&gt;0,cc_delta,0)</f>
        <v>0</v>
      </c>
      <c r="Q95" s="122">
        <f ca="1">NOT(cc_in_focus) * cc_show_type * IF(cc_delta&lt;0,ABS(cc_delta),0)</f>
        <v>0</v>
      </c>
    </row>
    <row r="96" spans="3:17" x14ac:dyDescent="0.3">
      <c r="C96" s="179"/>
      <c r="D96" s="123"/>
      <c r="E96" s="123"/>
      <c r="F96" s="123"/>
      <c r="G96" s="123"/>
      <c r="H96" s="123"/>
      <c r="I96" s="123"/>
      <c r="J96" s="123"/>
      <c r="K96" s="123"/>
      <c r="L96" s="123"/>
      <c r="M96" s="123"/>
      <c r="N96" s="123"/>
      <c r="O96" s="123"/>
      <c r="P96" s="123"/>
      <c r="Q96" s="123"/>
    </row>
    <row r="97" spans="3:17" x14ac:dyDescent="0.3">
      <c r="C97" s="178">
        <f ca="1">DATE(selected_year,10,1)</f>
        <v>46296</v>
      </c>
      <c r="D97" s="106" t="s">
        <v>31</v>
      </c>
      <c r="E97" s="106">
        <f ca="1">MONTH(C97)</f>
        <v>10</v>
      </c>
      <c r="F97" s="106">
        <f ca="1">IF(selected_period="Jahresübersicht", 1, IF(selected_period=cc_month_number,1,0))</f>
        <v>0</v>
      </c>
      <c r="G97" s="106">
        <f>1*$D$45</f>
        <v>1</v>
      </c>
      <c r="H97" s="106">
        <f>1*$D$49</f>
        <v>1</v>
      </c>
      <c r="I97" s="121">
        <f t="array" aca="1" ref="I97" ca="1">SUM(Tracking[Betrag]*(Tracking[Type]=cc_type)*(YEAR(Tracking[Effektiv Datum])=selected_year)*(MONTH(Tracking[Effektiv Datum])=cc_month_number))</f>
        <v>0</v>
      </c>
      <c r="J97" s="107">
        <f t="array" aca="1" ref="J97" ca="1">INDEX('Budget Planning'!$E:$FA,income_total_row,MATCH(DATE(selected_year,cc_month_number,1),'Budget Planning'!$E$9:$FA$9,0))</f>
        <v>0</v>
      </c>
      <c r="K97" s="107">
        <f ca="1">cc_budget-cc_tracked</f>
        <v>0</v>
      </c>
      <c r="L97" s="122">
        <f ca="1">cc_in_focus * cc_show_type * MIN(cc_tracked,cc_budget)</f>
        <v>0</v>
      </c>
      <c r="M97" s="122">
        <f ca="1">cc_in_focus * cc_show_type * cc_show_remaining_budget * IF(cc_delta&gt;0,cc_delta,0)</f>
        <v>0</v>
      </c>
      <c r="N97" s="122">
        <f ca="1">cc_in_focus * cc_show_type * IF(cc_delta&lt;0,ABS(cc_delta),0)</f>
        <v>0</v>
      </c>
      <c r="O97" s="122">
        <f ca="1">NOT(cc_in_focus) * cc_show_type * MIN(cc_tracked,cc_budget)</f>
        <v>0</v>
      </c>
      <c r="P97" s="122">
        <f ca="1">NOT(cc_in_focus) * cc_show_type * cc_show_remaining_budget * IF(cc_delta&gt;0,cc_delta,0)</f>
        <v>0</v>
      </c>
      <c r="Q97" s="122">
        <f ca="1">NOT(cc_in_focus) * cc_show_type * IF(cc_delta&lt;0,ABS(cc_delta),0)</f>
        <v>0</v>
      </c>
    </row>
    <row r="98" spans="3:17" x14ac:dyDescent="0.3">
      <c r="C98" s="179"/>
      <c r="D98" s="106" t="s">
        <v>8</v>
      </c>
      <c r="E98" s="106">
        <f ca="1">MONTH(C97)</f>
        <v>10</v>
      </c>
      <c r="F98" s="106">
        <f ca="1">IF(selected_period="Jahresübersicht", 1, IF(selected_period=cc_month_number,1,0))</f>
        <v>0</v>
      </c>
      <c r="G98" s="106">
        <f>1*$D$46</f>
        <v>1</v>
      </c>
      <c r="H98" s="106">
        <f>1*$D$49</f>
        <v>1</v>
      </c>
      <c r="I98" s="121">
        <f t="array" aca="1" ref="I98" ca="1">SUM(Tracking[Betrag]*(Tracking[Type]=cc_type)*(YEAR(Tracking[Effektiv Datum])=selected_year)*(MONTH(Tracking[Effektiv Datum])=cc_month_number))</f>
        <v>0</v>
      </c>
      <c r="J98" s="107">
        <f t="array" aca="1" ref="J98" ca="1">INDEX('Budget Planning'!$E:$FA,fixed_costs_total_row,MATCH(DATE(selected_year,cc_month_number,1),'Budget Planning'!$E$9:$FA$9,0))</f>
        <v>0</v>
      </c>
      <c r="K98" s="107">
        <f ca="1">cc_budget-cc_tracked</f>
        <v>0</v>
      </c>
      <c r="L98" s="122">
        <f ca="1">cc_in_focus * cc_show_type * MIN(cc_tracked,cc_budget)</f>
        <v>0</v>
      </c>
      <c r="M98" s="122">
        <f ca="1">cc_in_focus * cc_show_type * cc_show_remaining_budget * IF(cc_delta&gt;0,cc_delta,0)</f>
        <v>0</v>
      </c>
      <c r="N98" s="122">
        <f ca="1">cc_in_focus * cc_show_type * IF(cc_delta&lt;0,ABS(cc_delta),0)</f>
        <v>0</v>
      </c>
      <c r="O98" s="122">
        <f ca="1">NOT(cc_in_focus) * cc_show_type * MIN(cc_tracked,cc_budget)</f>
        <v>0</v>
      </c>
      <c r="P98" s="122">
        <f ca="1">NOT(cc_in_focus) * cc_show_type * cc_show_remaining_budget * IF(cc_delta&gt;0,cc_delta,0)</f>
        <v>0</v>
      </c>
      <c r="Q98" s="122">
        <f ca="1">NOT(cc_in_focus) * cc_show_type * IF(cc_delta&lt;0,ABS(cc_delta),0)</f>
        <v>0</v>
      </c>
    </row>
    <row r="99" spans="3:17" x14ac:dyDescent="0.3">
      <c r="C99" s="179"/>
      <c r="D99" s="106" t="s">
        <v>9</v>
      </c>
      <c r="E99" s="106">
        <f ca="1">MONTH(C97)</f>
        <v>10</v>
      </c>
      <c r="F99" s="106">
        <f ca="1">IF(selected_period="Jahresübersicht", 1, IF(selected_period=cc_month_number,1,0))</f>
        <v>0</v>
      </c>
      <c r="G99" s="106">
        <f>1*$D$47</f>
        <v>1</v>
      </c>
      <c r="H99" s="106">
        <f>1*$D$49</f>
        <v>1</v>
      </c>
      <c r="I99" s="121">
        <f t="array" aca="1" ref="I99" ca="1">SUM(Tracking[Betrag]*(Tracking[Type]=cc_type)*(YEAR(Tracking[Effektiv Datum])=selected_year)*(MONTH(Tracking[Effektiv Datum])=cc_month_number))</f>
        <v>0</v>
      </c>
      <c r="J99" s="107">
        <f t="array" aca="1" ref="J99" ca="1">INDEX('Budget Planning'!$E:$FA,variable_costs_total_row,MATCH(DATE(selected_year,cc_month_number,1),'Budget Planning'!$E$9:$FA$9,0))</f>
        <v>0</v>
      </c>
      <c r="K99" s="107">
        <f ca="1">cc_budget-cc_tracked</f>
        <v>0</v>
      </c>
      <c r="L99" s="122">
        <f ca="1">cc_in_focus * cc_show_type * MIN(cc_tracked,cc_budget)</f>
        <v>0</v>
      </c>
      <c r="M99" s="122">
        <f ca="1">cc_in_focus * cc_show_type * cc_show_remaining_budget * IF(cc_delta&gt;0,cc_delta,0)</f>
        <v>0</v>
      </c>
      <c r="N99" s="122">
        <f ca="1">cc_in_focus * cc_show_type * IF(cc_delta&lt;0,ABS(cc_delta),0)</f>
        <v>0</v>
      </c>
      <c r="O99" s="122">
        <f ca="1">NOT(cc_in_focus) * cc_show_type * MIN(cc_tracked,cc_budget)</f>
        <v>0</v>
      </c>
      <c r="P99" s="122">
        <f ca="1">NOT(cc_in_focus) * cc_show_type * cc_show_remaining_budget * IF(cc_delta&gt;0,cc_delta,0)</f>
        <v>0</v>
      </c>
      <c r="Q99" s="122">
        <f ca="1">NOT(cc_in_focus) * cc_show_type * IF(cc_delta&lt;0,ABS(cc_delta),0)</f>
        <v>0</v>
      </c>
    </row>
    <row r="100" spans="3:17" x14ac:dyDescent="0.3">
      <c r="C100" s="179"/>
      <c r="D100" s="106" t="s">
        <v>12</v>
      </c>
      <c r="E100" s="106">
        <f ca="1">MONTH(C97)</f>
        <v>10</v>
      </c>
      <c r="F100" s="106">
        <f ca="1">IF(selected_period="Jahresübersicht", 1, IF(selected_period=cc_month_number,1,0))</f>
        <v>0</v>
      </c>
      <c r="G100" s="106">
        <f>1*$D$48</f>
        <v>1</v>
      </c>
      <c r="H100" s="106">
        <f>1*$D$49</f>
        <v>1</v>
      </c>
      <c r="I100" s="121">
        <f t="array" aca="1" ref="I100" ca="1">SUM(Tracking[Betrag]*(Tracking[Type]=cc_type)*(YEAR(Tracking[Effektiv Datum])=selected_year)*(MONTH(Tracking[Effektiv Datum])=cc_month_number))</f>
        <v>0</v>
      </c>
      <c r="J100" s="107">
        <f t="array" aca="1" ref="J100" ca="1">INDEX('Budget Planning'!$E:$FA,investment_total_row,MATCH(DATE(selected_year,cc_month_number,1),'Budget Planning'!$E$9:$FA$9,0))</f>
        <v>0</v>
      </c>
      <c r="K100" s="107">
        <f ca="1">cc_budget-cc_tracked</f>
        <v>0</v>
      </c>
      <c r="L100" s="122">
        <f ca="1">cc_in_focus * cc_show_type * MIN(cc_tracked,cc_budget)</f>
        <v>0</v>
      </c>
      <c r="M100" s="122">
        <f ca="1">cc_in_focus * cc_show_type * cc_show_remaining_budget * IF(cc_delta&gt;0,cc_delta,0)</f>
        <v>0</v>
      </c>
      <c r="N100" s="122">
        <f ca="1">cc_in_focus * cc_show_type * IF(cc_delta&lt;0,ABS(cc_delta),0)</f>
        <v>0</v>
      </c>
      <c r="O100" s="122">
        <f ca="1">NOT(cc_in_focus) * cc_show_type * MIN(cc_tracked,cc_budget)</f>
        <v>0</v>
      </c>
      <c r="P100" s="122">
        <f ca="1">NOT(cc_in_focus) * cc_show_type * cc_show_remaining_budget * IF(cc_delta&gt;0,cc_delta,0)</f>
        <v>0</v>
      </c>
      <c r="Q100" s="122">
        <f ca="1">NOT(cc_in_focus) * cc_show_type * IF(cc_delta&lt;0,ABS(cc_delta),0)</f>
        <v>0</v>
      </c>
    </row>
    <row r="101" spans="3:17" x14ac:dyDescent="0.3">
      <c r="C101" s="179"/>
      <c r="D101" s="123"/>
      <c r="E101" s="123"/>
      <c r="F101" s="123"/>
      <c r="G101" s="123"/>
      <c r="H101" s="123"/>
      <c r="I101" s="123"/>
      <c r="J101" s="123"/>
      <c r="K101" s="123"/>
      <c r="L101" s="123"/>
      <c r="M101" s="123"/>
      <c r="N101" s="123"/>
      <c r="O101" s="123"/>
      <c r="P101" s="123"/>
      <c r="Q101" s="123"/>
    </row>
    <row r="102" spans="3:17" x14ac:dyDescent="0.3">
      <c r="C102" s="178">
        <f ca="1">DATE(selected_year,11,1)</f>
        <v>46327</v>
      </c>
      <c r="D102" s="106" t="s">
        <v>31</v>
      </c>
      <c r="E102" s="106">
        <f ca="1">MONTH(C102)</f>
        <v>11</v>
      </c>
      <c r="F102" s="106">
        <f ca="1">IF(selected_period="Jahresübersicht", 1, IF(selected_period=cc_month_number,1,0))</f>
        <v>0</v>
      </c>
      <c r="G102" s="106">
        <f>1*$D$45</f>
        <v>1</v>
      </c>
      <c r="H102" s="106">
        <f>1*$D$49</f>
        <v>1</v>
      </c>
      <c r="I102" s="121">
        <f t="array" aca="1" ref="I102" ca="1">SUM(Tracking[Betrag]*(Tracking[Type]=cc_type)*(YEAR(Tracking[Effektiv Datum])=selected_year)*(MONTH(Tracking[Effektiv Datum])=cc_month_number))</f>
        <v>0</v>
      </c>
      <c r="J102" s="107">
        <f t="array" aca="1" ref="J102" ca="1">INDEX('Budget Planning'!$E:$FA,income_total_row,MATCH(DATE(selected_year,cc_month_number,1),'Budget Planning'!$E$9:$FA$9,0))</f>
        <v>0</v>
      </c>
      <c r="K102" s="107">
        <f ca="1">cc_budget-cc_tracked</f>
        <v>0</v>
      </c>
      <c r="L102" s="122">
        <f ca="1">cc_in_focus * cc_show_type * MIN(cc_tracked,cc_budget)</f>
        <v>0</v>
      </c>
      <c r="M102" s="122">
        <f ca="1">cc_in_focus * cc_show_type * cc_show_remaining_budget * IF(cc_delta&gt;0,cc_delta,0)</f>
        <v>0</v>
      </c>
      <c r="N102" s="122">
        <f ca="1">cc_in_focus * cc_show_type * IF(cc_delta&lt;0,ABS(cc_delta),0)</f>
        <v>0</v>
      </c>
      <c r="O102" s="122">
        <f ca="1">NOT(cc_in_focus) * cc_show_type * MIN(cc_tracked,cc_budget)</f>
        <v>0</v>
      </c>
      <c r="P102" s="122">
        <f ca="1">NOT(cc_in_focus) * cc_show_type * cc_show_remaining_budget * IF(cc_delta&gt;0,cc_delta,0)</f>
        <v>0</v>
      </c>
      <c r="Q102" s="122">
        <f ca="1">NOT(cc_in_focus) * cc_show_type * IF(cc_delta&lt;0,ABS(cc_delta),0)</f>
        <v>0</v>
      </c>
    </row>
    <row r="103" spans="3:17" x14ac:dyDescent="0.3">
      <c r="C103" s="179"/>
      <c r="D103" s="106" t="s">
        <v>8</v>
      </c>
      <c r="E103" s="106">
        <f ca="1">MONTH(C102)</f>
        <v>11</v>
      </c>
      <c r="F103" s="106">
        <f ca="1">IF(selected_period="Jahresübersicht", 1, IF(selected_period=cc_month_number,1,0))</f>
        <v>0</v>
      </c>
      <c r="G103" s="106">
        <f>1*$D$46</f>
        <v>1</v>
      </c>
      <c r="H103" s="106">
        <f>1*$D$49</f>
        <v>1</v>
      </c>
      <c r="I103" s="121">
        <f t="array" aca="1" ref="I103" ca="1">SUM(Tracking[Betrag]*(Tracking[Type]=cc_type)*(YEAR(Tracking[Effektiv Datum])=selected_year)*(MONTH(Tracking[Effektiv Datum])=cc_month_number))</f>
        <v>0</v>
      </c>
      <c r="J103" s="107">
        <f t="array" aca="1" ref="J103" ca="1">INDEX('Budget Planning'!$E:$FA,fixed_costs_total_row,MATCH(DATE(selected_year,cc_month_number,1),'Budget Planning'!$E$9:$FA$9,0))</f>
        <v>0</v>
      </c>
      <c r="K103" s="107">
        <f ca="1">cc_budget-cc_tracked</f>
        <v>0</v>
      </c>
      <c r="L103" s="122">
        <f ca="1">cc_in_focus * cc_show_type * MIN(cc_tracked,cc_budget)</f>
        <v>0</v>
      </c>
      <c r="M103" s="122">
        <f ca="1">cc_in_focus * cc_show_type * cc_show_remaining_budget * IF(cc_delta&gt;0,cc_delta,0)</f>
        <v>0</v>
      </c>
      <c r="N103" s="122">
        <f ca="1">cc_in_focus * cc_show_type * IF(cc_delta&lt;0,ABS(cc_delta),0)</f>
        <v>0</v>
      </c>
      <c r="O103" s="122">
        <f ca="1">NOT(cc_in_focus) * cc_show_type * MIN(cc_tracked,cc_budget)</f>
        <v>0</v>
      </c>
      <c r="P103" s="122">
        <f ca="1">NOT(cc_in_focus) * cc_show_type * cc_show_remaining_budget * IF(cc_delta&gt;0,cc_delta,0)</f>
        <v>0</v>
      </c>
      <c r="Q103" s="122">
        <f ca="1">NOT(cc_in_focus) * cc_show_type * IF(cc_delta&lt;0,ABS(cc_delta),0)</f>
        <v>0</v>
      </c>
    </row>
    <row r="104" spans="3:17" x14ac:dyDescent="0.3">
      <c r="C104" s="179"/>
      <c r="D104" s="106" t="s">
        <v>9</v>
      </c>
      <c r="E104" s="106">
        <f ca="1">MONTH(C102)</f>
        <v>11</v>
      </c>
      <c r="F104" s="106">
        <f ca="1">IF(selected_period="Jahresübersicht", 1, IF(selected_period=cc_month_number,1,0))</f>
        <v>0</v>
      </c>
      <c r="G104" s="106">
        <f>1*$D$47</f>
        <v>1</v>
      </c>
      <c r="H104" s="106">
        <f>1*$D$49</f>
        <v>1</v>
      </c>
      <c r="I104" s="121">
        <f t="array" aca="1" ref="I104" ca="1">SUM(Tracking[Betrag]*(Tracking[Type]=cc_type)*(YEAR(Tracking[Effektiv Datum])=selected_year)*(MONTH(Tracking[Effektiv Datum])=cc_month_number))</f>
        <v>0</v>
      </c>
      <c r="J104" s="107">
        <f t="array" aca="1" ref="J104" ca="1">INDEX('Budget Planning'!$E:$FA,variable_costs_total_row,MATCH(DATE(selected_year,cc_month_number,1),'Budget Planning'!$E$9:$FA$9,0))</f>
        <v>0</v>
      </c>
      <c r="K104" s="107">
        <f ca="1">cc_budget-cc_tracked</f>
        <v>0</v>
      </c>
      <c r="L104" s="122">
        <f ca="1">cc_in_focus * cc_show_type * MIN(cc_tracked,cc_budget)</f>
        <v>0</v>
      </c>
      <c r="M104" s="122">
        <f ca="1">cc_in_focus * cc_show_type * cc_show_remaining_budget * IF(cc_delta&gt;0,cc_delta,0)</f>
        <v>0</v>
      </c>
      <c r="N104" s="122">
        <f ca="1">cc_in_focus * cc_show_type * IF(cc_delta&lt;0,ABS(cc_delta),0)</f>
        <v>0</v>
      </c>
      <c r="O104" s="122">
        <f ca="1">NOT(cc_in_focus) * cc_show_type * MIN(cc_tracked,cc_budget)</f>
        <v>0</v>
      </c>
      <c r="P104" s="122">
        <f ca="1">NOT(cc_in_focus) * cc_show_type * cc_show_remaining_budget * IF(cc_delta&gt;0,cc_delta,0)</f>
        <v>0</v>
      </c>
      <c r="Q104" s="122">
        <f ca="1">NOT(cc_in_focus) * cc_show_type * IF(cc_delta&lt;0,ABS(cc_delta),0)</f>
        <v>0</v>
      </c>
    </row>
    <row r="105" spans="3:17" x14ac:dyDescent="0.3">
      <c r="C105" s="179"/>
      <c r="D105" s="106" t="s">
        <v>12</v>
      </c>
      <c r="E105" s="106">
        <f ca="1">MONTH(C102)</f>
        <v>11</v>
      </c>
      <c r="F105" s="106">
        <f ca="1">IF(selected_period="Jahresübersicht", 1, IF(selected_period=cc_month_number,1,0))</f>
        <v>0</v>
      </c>
      <c r="G105" s="106">
        <f>1*$D$48</f>
        <v>1</v>
      </c>
      <c r="H105" s="106">
        <f>1*$D$49</f>
        <v>1</v>
      </c>
      <c r="I105" s="121">
        <f t="array" aca="1" ref="I105" ca="1">SUM(Tracking[Betrag]*(Tracking[Type]=cc_type)*(YEAR(Tracking[Effektiv Datum])=selected_year)*(MONTH(Tracking[Effektiv Datum])=cc_month_number))</f>
        <v>0</v>
      </c>
      <c r="J105" s="107">
        <f t="array" aca="1" ref="J105" ca="1">INDEX('Budget Planning'!$E:$FA,investment_total_row,MATCH(DATE(selected_year,cc_month_number,1),'Budget Planning'!$E$9:$FA$9,0))</f>
        <v>0</v>
      </c>
      <c r="K105" s="107">
        <f ca="1">cc_budget-cc_tracked</f>
        <v>0</v>
      </c>
      <c r="L105" s="122">
        <f ca="1">cc_in_focus * cc_show_type * MIN(cc_tracked,cc_budget)</f>
        <v>0</v>
      </c>
      <c r="M105" s="122">
        <f ca="1">cc_in_focus * cc_show_type * cc_show_remaining_budget * IF(cc_delta&gt;0,cc_delta,0)</f>
        <v>0</v>
      </c>
      <c r="N105" s="122">
        <f ca="1">cc_in_focus * cc_show_type * IF(cc_delta&lt;0,ABS(cc_delta),0)</f>
        <v>0</v>
      </c>
      <c r="O105" s="122">
        <f ca="1">NOT(cc_in_focus) * cc_show_type * MIN(cc_tracked,cc_budget)</f>
        <v>0</v>
      </c>
      <c r="P105" s="122">
        <f ca="1">NOT(cc_in_focus) * cc_show_type * cc_show_remaining_budget * IF(cc_delta&gt;0,cc_delta,0)</f>
        <v>0</v>
      </c>
      <c r="Q105" s="122">
        <f ca="1">NOT(cc_in_focus) * cc_show_type * IF(cc_delta&lt;0,ABS(cc_delta),0)</f>
        <v>0</v>
      </c>
    </row>
    <row r="106" spans="3:17" x14ac:dyDescent="0.3">
      <c r="C106" s="179"/>
      <c r="D106" s="123"/>
      <c r="E106" s="123"/>
      <c r="F106" s="123"/>
      <c r="G106" s="123"/>
      <c r="H106" s="123"/>
      <c r="I106" s="123"/>
      <c r="J106" s="123"/>
      <c r="K106" s="123"/>
      <c r="L106" s="123"/>
      <c r="M106" s="123"/>
      <c r="N106" s="123"/>
      <c r="O106" s="123"/>
      <c r="P106" s="123"/>
      <c r="Q106" s="123"/>
    </row>
    <row r="107" spans="3:17" x14ac:dyDescent="0.3">
      <c r="C107" s="182">
        <f ca="1">DATE(selected_year,12,1)</f>
        <v>46357</v>
      </c>
      <c r="D107" s="106" t="s">
        <v>31</v>
      </c>
      <c r="E107" s="106">
        <f ca="1">MONTH(C107)</f>
        <v>12</v>
      </c>
      <c r="F107" s="106">
        <f ca="1">IF(selected_period="Jahresübersicht", 1, IF(selected_period=cc_month_number,1,0))</f>
        <v>0</v>
      </c>
      <c r="G107" s="106">
        <f>1*$D$45</f>
        <v>1</v>
      </c>
      <c r="H107" s="106">
        <f>1*$D$49</f>
        <v>1</v>
      </c>
      <c r="I107" s="121">
        <f t="array" aca="1" ref="I107" ca="1">SUM(Tracking[Betrag]*(Tracking[Type]=cc_type)*(YEAR(Tracking[Effektiv Datum])=selected_year)*(MONTH(Tracking[Effektiv Datum])=cc_month_number))</f>
        <v>0</v>
      </c>
      <c r="J107" s="107">
        <f t="array" aca="1" ref="J107" ca="1">INDEX('Budget Planning'!$E:$FA,income_total_row,MATCH(DATE(selected_year,cc_month_number,1),'Budget Planning'!$E$9:$FA$9,0))</f>
        <v>0</v>
      </c>
      <c r="K107" s="107">
        <f ca="1">cc_budget-cc_tracked</f>
        <v>0</v>
      </c>
      <c r="L107" s="122">
        <f ca="1">cc_in_focus * cc_show_type * MIN(cc_tracked,cc_budget)</f>
        <v>0</v>
      </c>
      <c r="M107" s="122">
        <f ca="1">cc_in_focus * cc_show_type * cc_show_remaining_budget * IF(cc_delta&gt;0,cc_delta,0)</f>
        <v>0</v>
      </c>
      <c r="N107" s="122">
        <f ca="1">cc_in_focus * cc_show_type * IF(cc_delta&lt;0,ABS(cc_delta),0)</f>
        <v>0</v>
      </c>
      <c r="O107" s="122">
        <f ca="1">NOT(cc_in_focus) * cc_show_type * MIN(cc_tracked,cc_budget)</f>
        <v>0</v>
      </c>
      <c r="P107" s="122">
        <f ca="1">NOT(cc_in_focus) * cc_show_type * cc_show_remaining_budget * IF(cc_delta&gt;0,cc_delta,0)</f>
        <v>0</v>
      </c>
      <c r="Q107" s="122">
        <f ca="1">NOT(cc_in_focus) * cc_show_type * IF(cc_delta&lt;0,ABS(cc_delta),0)</f>
        <v>0</v>
      </c>
    </row>
    <row r="108" spans="3:17" x14ac:dyDescent="0.3">
      <c r="C108" s="179"/>
      <c r="D108" s="106" t="s">
        <v>8</v>
      </c>
      <c r="E108" s="106">
        <f ca="1">MONTH(C107)</f>
        <v>12</v>
      </c>
      <c r="F108" s="106">
        <f ca="1">IF(selected_period="Jahresübersicht", 1, IF(selected_period=cc_month_number,1,0))</f>
        <v>0</v>
      </c>
      <c r="G108" s="106">
        <f>1*$D$46</f>
        <v>1</v>
      </c>
      <c r="H108" s="106">
        <f>1*$D$49</f>
        <v>1</v>
      </c>
      <c r="I108" s="121">
        <f t="array" aca="1" ref="I108" ca="1">SUM(Tracking[Betrag]*(Tracking[Type]=cc_type)*(YEAR(Tracking[Effektiv Datum])=selected_year)*(MONTH(Tracking[Effektiv Datum])=cc_month_number))</f>
        <v>0</v>
      </c>
      <c r="J108" s="107">
        <f t="array" aca="1" ref="J108" ca="1">INDEX('Budget Planning'!$E:$FA,fixed_costs_total_row,MATCH(DATE(selected_year,cc_month_number,1),'Budget Planning'!$E$9:$FA$9,0))</f>
        <v>0</v>
      </c>
      <c r="K108" s="107">
        <f ca="1">cc_budget-cc_tracked</f>
        <v>0</v>
      </c>
      <c r="L108" s="122">
        <f ca="1">cc_in_focus * cc_show_type * MIN(cc_tracked,cc_budget)</f>
        <v>0</v>
      </c>
      <c r="M108" s="122">
        <f ca="1">cc_in_focus * cc_show_type * cc_show_remaining_budget * IF(cc_delta&gt;0,cc_delta,0)</f>
        <v>0</v>
      </c>
      <c r="N108" s="122">
        <f ca="1">cc_in_focus * cc_show_type * IF(cc_delta&lt;0,ABS(cc_delta),0)</f>
        <v>0</v>
      </c>
      <c r="O108" s="122">
        <f ca="1">NOT(cc_in_focus) * cc_show_type * MIN(cc_tracked,cc_budget)</f>
        <v>0</v>
      </c>
      <c r="P108" s="122">
        <f ca="1">NOT(cc_in_focus) * cc_show_type * cc_show_remaining_budget * IF(cc_delta&gt;0,cc_delta,0)</f>
        <v>0</v>
      </c>
      <c r="Q108" s="122">
        <f ca="1">NOT(cc_in_focus) * cc_show_type * IF(cc_delta&lt;0,ABS(cc_delta),0)</f>
        <v>0</v>
      </c>
    </row>
    <row r="109" spans="3:17" x14ac:dyDescent="0.3">
      <c r="C109" s="179"/>
      <c r="D109" s="106" t="s">
        <v>9</v>
      </c>
      <c r="E109" s="106">
        <f ca="1">MONTH(C107)</f>
        <v>12</v>
      </c>
      <c r="F109" s="106">
        <f ca="1">IF(selected_period="Jahresübersicht", 1, IF(selected_period=cc_month_number,1,0))</f>
        <v>0</v>
      </c>
      <c r="G109" s="106">
        <f>1*$D$47</f>
        <v>1</v>
      </c>
      <c r="H109" s="106">
        <f>1*$D$49</f>
        <v>1</v>
      </c>
      <c r="I109" s="121">
        <f t="array" aca="1" ref="I109" ca="1">SUM(Tracking[Betrag]*(Tracking[Type]=cc_type)*(YEAR(Tracking[Effektiv Datum])=selected_year)*(MONTH(Tracking[Effektiv Datum])=cc_month_number))</f>
        <v>0</v>
      </c>
      <c r="J109" s="107">
        <f t="array" aca="1" ref="J109" ca="1">INDEX('Budget Planning'!$E:$FA,variable_costs_total_row,MATCH(DATE(selected_year,cc_month_number,1),'Budget Planning'!$E$9:$FA$9,0))</f>
        <v>0</v>
      </c>
      <c r="K109" s="107">
        <f ca="1">cc_budget-cc_tracked</f>
        <v>0</v>
      </c>
      <c r="L109" s="122">
        <f ca="1">cc_in_focus * cc_show_type * MIN(cc_tracked,cc_budget)</f>
        <v>0</v>
      </c>
      <c r="M109" s="122">
        <f ca="1">cc_in_focus * cc_show_type * cc_show_remaining_budget * IF(cc_delta&gt;0,cc_delta,0)</f>
        <v>0</v>
      </c>
      <c r="N109" s="122">
        <f ca="1">cc_in_focus * cc_show_type * IF(cc_delta&lt;0,ABS(cc_delta),0)</f>
        <v>0</v>
      </c>
      <c r="O109" s="122">
        <f ca="1">NOT(cc_in_focus) * cc_show_type * MIN(cc_tracked,cc_budget)</f>
        <v>0</v>
      </c>
      <c r="P109" s="122">
        <f ca="1">NOT(cc_in_focus) * cc_show_type * cc_show_remaining_budget * IF(cc_delta&gt;0,cc_delta,0)</f>
        <v>0</v>
      </c>
      <c r="Q109" s="122">
        <f ca="1">NOT(cc_in_focus) * cc_show_type * IF(cc_delta&lt;0,ABS(cc_delta),0)</f>
        <v>0</v>
      </c>
    </row>
    <row r="110" spans="3:17" x14ac:dyDescent="0.3">
      <c r="C110" s="179"/>
      <c r="D110" s="106" t="s">
        <v>12</v>
      </c>
      <c r="E110" s="106">
        <f ca="1">MONTH(C107)</f>
        <v>12</v>
      </c>
      <c r="F110" s="106">
        <f ca="1">IF(selected_period="Jahresübersicht", 1, IF(selected_period=cc_month_number,1,0))</f>
        <v>0</v>
      </c>
      <c r="G110" s="106">
        <f>1*$D$48</f>
        <v>1</v>
      </c>
      <c r="H110" s="106">
        <f>1*$D$49</f>
        <v>1</v>
      </c>
      <c r="I110" s="121">
        <f t="array" aca="1" ref="I110" ca="1">SUM(Tracking[Betrag]*(Tracking[Type]=cc_type)*(YEAR(Tracking[Effektiv Datum])=selected_year)*(MONTH(Tracking[Effektiv Datum])=cc_month_number))</f>
        <v>0</v>
      </c>
      <c r="J110" s="107">
        <f t="array" aca="1" ref="J110" ca="1">INDEX('Budget Planning'!$E:$FA,investment_total_row,MATCH(DATE(selected_year,cc_month_number,1),'Budget Planning'!$E$9:$FA$9,0))</f>
        <v>0</v>
      </c>
      <c r="K110" s="107">
        <f ca="1">cc_budget-cc_tracked</f>
        <v>0</v>
      </c>
      <c r="L110" s="122">
        <f ca="1">cc_in_focus * cc_show_type * MIN(cc_tracked,cc_budget)</f>
        <v>0</v>
      </c>
      <c r="M110" s="122">
        <f ca="1">cc_in_focus * cc_show_type * cc_show_remaining_budget * IF(cc_delta&gt;0,cc_delta,0)</f>
        <v>0</v>
      </c>
      <c r="N110" s="122">
        <f ca="1">cc_in_focus * cc_show_type * IF(cc_delta&lt;0,ABS(cc_delta),0)</f>
        <v>0</v>
      </c>
      <c r="O110" s="122">
        <f ca="1">NOT(cc_in_focus) * cc_show_type * MIN(cc_tracked,cc_budget)</f>
        <v>0</v>
      </c>
      <c r="P110" s="122">
        <f ca="1">NOT(cc_in_focus) * cc_show_type * cc_show_remaining_budget * IF(cc_delta&gt;0,cc_delta,0)</f>
        <v>0</v>
      </c>
      <c r="Q110" s="122">
        <f ca="1">NOT(cc_in_focus) * cc_show_type * IF(cc_delta&lt;0,ABS(cc_delta),0)</f>
        <v>0</v>
      </c>
    </row>
    <row r="111" spans="3:17" x14ac:dyDescent="0.3">
      <c r="C111" s="183"/>
      <c r="D111" s="123"/>
      <c r="E111" s="123"/>
      <c r="F111" s="123"/>
      <c r="G111" s="123"/>
      <c r="H111" s="123"/>
      <c r="I111" s="123"/>
      <c r="J111" s="123"/>
      <c r="K111" s="123"/>
      <c r="L111" s="123"/>
      <c r="M111" s="123"/>
      <c r="N111" s="123"/>
      <c r="O111" s="123"/>
      <c r="P111" s="123"/>
      <c r="Q111" s="123"/>
    </row>
    <row r="115" spans="12:17" x14ac:dyDescent="0.3">
      <c r="L115" s="122"/>
      <c r="M115" s="122"/>
      <c r="N115" s="122"/>
      <c r="O115" s="122"/>
      <c r="P115" s="122"/>
      <c r="Q115" s="122"/>
    </row>
  </sheetData>
  <mergeCells count="17">
    <mergeCell ref="C107:C111"/>
    <mergeCell ref="C62:C66"/>
    <mergeCell ref="B5:E5"/>
    <mergeCell ref="C77:C81"/>
    <mergeCell ref="C72:C76"/>
    <mergeCell ref="C67:C71"/>
    <mergeCell ref="C57:C61"/>
    <mergeCell ref="C87:C91"/>
    <mergeCell ref="B17:E17"/>
    <mergeCell ref="C102:C106"/>
    <mergeCell ref="C92:C96"/>
    <mergeCell ref="C52:C56"/>
    <mergeCell ref="C82:C86"/>
    <mergeCell ref="O50:Q50"/>
    <mergeCell ref="C97:C101"/>
    <mergeCell ref="L50:N50"/>
    <mergeCell ref="A1:C3"/>
  </mergeCell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5">
    <tabColor theme="1" tint="0.499984740745262"/>
  </sheetPr>
  <dimension ref="A4:M291"/>
  <sheetViews>
    <sheetView tabSelected="1" topLeftCell="A34" workbookViewId="0">
      <selection activeCell="D271" sqref="D271"/>
    </sheetView>
  </sheetViews>
  <sheetFormatPr baseColWidth="10" defaultRowHeight="14.4" x14ac:dyDescent="0.3"/>
  <cols>
    <col min="1" max="1" width="6" customWidth="1"/>
    <col min="2" max="2" width="18" style="151" customWidth="1"/>
    <col min="3" max="3" width="16.109375" style="136" customWidth="1"/>
    <col min="4" max="4" width="35.44140625" style="51" customWidth="1"/>
    <col min="5" max="6" width="17.6640625" style="136" customWidth="1"/>
    <col min="7" max="7" width="19.77734375" style="136" customWidth="1"/>
    <col min="8" max="8" width="54.88671875" style="136" customWidth="1"/>
    <col min="9" max="9" width="13.88671875" style="136" customWidth="1"/>
    <col min="10" max="10" width="21.88671875" customWidth="1"/>
    <col min="11" max="11" width="21.109375" style="136" customWidth="1"/>
    <col min="12" max="12" width="22.21875" style="136" customWidth="1"/>
    <col min="13" max="13" width="23.109375" style="136" customWidth="1"/>
  </cols>
  <sheetData>
    <row r="4" spans="1:13" x14ac:dyDescent="0.3">
      <c r="B4" s="150"/>
      <c r="G4"/>
    </row>
    <row r="5" spans="1:13" ht="15" thickBot="1" x14ac:dyDescent="0.35"/>
    <row r="6" spans="1:13" x14ac:dyDescent="0.3">
      <c r="J6" s="163" t="s">
        <v>154</v>
      </c>
      <c r="K6" s="164"/>
      <c r="L6" s="164"/>
      <c r="M6" s="165"/>
    </row>
    <row r="7" spans="1:13" ht="14.4" customHeight="1" x14ac:dyDescent="0.3">
      <c r="J7" s="166" t="s">
        <v>159</v>
      </c>
      <c r="K7" s="167"/>
      <c r="L7" s="167"/>
      <c r="M7" s="168"/>
    </row>
    <row r="8" spans="1:13" x14ac:dyDescent="0.3">
      <c r="J8" s="166"/>
      <c r="K8" s="167"/>
      <c r="L8" s="167"/>
      <c r="M8" s="168"/>
    </row>
    <row r="9" spans="1:13" ht="15" thickBot="1" x14ac:dyDescent="0.35">
      <c r="J9" s="169"/>
      <c r="K9" s="170"/>
      <c r="L9" s="170"/>
      <c r="M9" s="171"/>
    </row>
    <row r="10" spans="1:13" x14ac:dyDescent="0.3">
      <c r="A10" s="158"/>
    </row>
    <row r="11" spans="1:13" s="137" customFormat="1" ht="28.8" customHeight="1" x14ac:dyDescent="0.3">
      <c r="A11" s="152"/>
      <c r="B11" s="152" t="s">
        <v>0</v>
      </c>
      <c r="C11" s="137" t="s">
        <v>1</v>
      </c>
      <c r="D11" s="137" t="s">
        <v>2</v>
      </c>
      <c r="E11" s="137" t="s">
        <v>3</v>
      </c>
      <c r="F11" s="137" t="s">
        <v>4</v>
      </c>
      <c r="G11" s="137" t="s">
        <v>5</v>
      </c>
      <c r="H11" s="137" t="s">
        <v>6</v>
      </c>
      <c r="I11"/>
      <c r="J11" s="137" t="s">
        <v>7</v>
      </c>
      <c r="K11" s="137" t="s">
        <v>3</v>
      </c>
      <c r="L11" s="137" t="s">
        <v>4</v>
      </c>
      <c r="M11" s="137" t="s">
        <v>5</v>
      </c>
    </row>
    <row r="12" spans="1:13" ht="28.8" customHeight="1" x14ac:dyDescent="0.3">
      <c r="A12" s="158"/>
      <c r="B12" s="158">
        <v>46146</v>
      </c>
      <c r="C12">
        <v>-0.74</v>
      </c>
      <c r="D12" t="s">
        <v>165</v>
      </c>
      <c r="E12" t="s">
        <v>9</v>
      </c>
      <c r="F12" t="s">
        <v>105</v>
      </c>
      <c r="G12" t="s">
        <v>164</v>
      </c>
      <c r="H12" t="s">
        <v>166</v>
      </c>
      <c r="J12" s="159" t="s">
        <v>161</v>
      </c>
      <c r="K12" s="159" t="s">
        <v>9</v>
      </c>
      <c r="L12" s="159" t="s">
        <v>10</v>
      </c>
      <c r="M12" s="159" t="s">
        <v>162</v>
      </c>
    </row>
    <row r="13" spans="1:13" ht="28.8" customHeight="1" x14ac:dyDescent="0.3">
      <c r="B13" s="158">
        <v>46146</v>
      </c>
      <c r="C13">
        <v>-51.22</v>
      </c>
      <c r="D13" t="s">
        <v>167</v>
      </c>
      <c r="E13"/>
      <c r="F13"/>
      <c r="G13"/>
      <c r="H13" t="s">
        <v>168</v>
      </c>
      <c r="J13" s="137" t="s">
        <v>163</v>
      </c>
      <c r="K13" s="137" t="s">
        <v>9</v>
      </c>
      <c r="L13" s="137" t="s">
        <v>105</v>
      </c>
      <c r="M13" s="137" t="s">
        <v>164</v>
      </c>
    </row>
    <row r="14" spans="1:13" ht="28.8" customHeight="1" x14ac:dyDescent="0.3">
      <c r="B14" s="150">
        <v>46146</v>
      </c>
      <c r="C14">
        <v>-18.93</v>
      </c>
      <c r="D14" s="149" t="s">
        <v>169</v>
      </c>
      <c r="E14" s="136" t="s">
        <v>9</v>
      </c>
      <c r="F14" s="136" t="s">
        <v>10</v>
      </c>
      <c r="G14" s="136" t="s">
        <v>164</v>
      </c>
      <c r="H14" t="s">
        <v>170</v>
      </c>
      <c r="J14" s="137" t="s">
        <v>390</v>
      </c>
      <c r="K14" s="137" t="s">
        <v>9</v>
      </c>
      <c r="L14" s="137" t="s">
        <v>10</v>
      </c>
      <c r="M14" s="137" t="s">
        <v>164</v>
      </c>
    </row>
    <row r="15" spans="1:13" ht="28.8" customHeight="1" x14ac:dyDescent="0.3">
      <c r="B15" s="150">
        <v>46146</v>
      </c>
      <c r="C15">
        <v>-1.69</v>
      </c>
      <c r="D15" s="149" t="s">
        <v>165</v>
      </c>
      <c r="E15" s="136" t="s">
        <v>9</v>
      </c>
      <c r="F15" s="136" t="s">
        <v>105</v>
      </c>
      <c r="G15" s="136" t="s">
        <v>164</v>
      </c>
      <c r="H15" t="s">
        <v>166</v>
      </c>
      <c r="J15" s="137" t="s">
        <v>391</v>
      </c>
      <c r="K15" s="137" t="s">
        <v>9</v>
      </c>
      <c r="L15" s="137"/>
      <c r="M15" s="137"/>
    </row>
    <row r="16" spans="1:13" ht="28.8" customHeight="1" x14ac:dyDescent="0.3">
      <c r="B16" s="150">
        <v>46146</v>
      </c>
      <c r="C16">
        <v>-77.94</v>
      </c>
      <c r="D16" s="149" t="s">
        <v>171</v>
      </c>
      <c r="E16" s="136" t="s">
        <v>9</v>
      </c>
      <c r="F16" s="136" t="s">
        <v>10</v>
      </c>
      <c r="G16" s="136" t="s">
        <v>162</v>
      </c>
      <c r="H16" t="s">
        <v>172</v>
      </c>
      <c r="J16" s="137"/>
      <c r="K16" s="137"/>
      <c r="L16" s="137"/>
      <c r="M16" s="137"/>
    </row>
    <row r="17" spans="2:13" ht="28.8" customHeight="1" x14ac:dyDescent="0.3">
      <c r="B17" s="150">
        <v>46145</v>
      </c>
      <c r="C17">
        <v>151.76</v>
      </c>
      <c r="D17" s="149" t="s">
        <v>173</v>
      </c>
      <c r="H17" t="s">
        <v>174</v>
      </c>
      <c r="K17"/>
      <c r="L17"/>
      <c r="M17"/>
    </row>
    <row r="18" spans="2:13" ht="28.8" customHeight="1" x14ac:dyDescent="0.3">
      <c r="B18" s="150">
        <v>46142</v>
      </c>
      <c r="C18">
        <v>-26.99</v>
      </c>
      <c r="D18" s="149" t="s">
        <v>175</v>
      </c>
      <c r="E18" s="136" t="s">
        <v>9</v>
      </c>
      <c r="H18" t="s">
        <v>176</v>
      </c>
      <c r="K18"/>
      <c r="L18"/>
      <c r="M18"/>
    </row>
    <row r="19" spans="2:13" ht="28.8" customHeight="1" x14ac:dyDescent="0.3">
      <c r="B19" s="150">
        <v>46142</v>
      </c>
      <c r="C19">
        <v>-34.99</v>
      </c>
      <c r="D19" s="149" t="s">
        <v>177</v>
      </c>
      <c r="H19" t="s">
        <v>178</v>
      </c>
      <c r="K19"/>
      <c r="L19"/>
      <c r="M19"/>
    </row>
    <row r="20" spans="2:13" ht="28.8" customHeight="1" x14ac:dyDescent="0.3">
      <c r="B20" s="150">
        <v>46142</v>
      </c>
      <c r="C20">
        <v>-4.12</v>
      </c>
      <c r="D20" s="149" t="s">
        <v>165</v>
      </c>
      <c r="E20" s="136" t="s">
        <v>9</v>
      </c>
      <c r="F20" s="136" t="s">
        <v>105</v>
      </c>
      <c r="G20" s="136" t="s">
        <v>164</v>
      </c>
      <c r="H20" t="s">
        <v>166</v>
      </c>
      <c r="K20"/>
      <c r="L20"/>
      <c r="M20"/>
    </row>
    <row r="21" spans="2:13" ht="28.8" customHeight="1" x14ac:dyDescent="0.3">
      <c r="B21" s="150">
        <v>46141</v>
      </c>
      <c r="C21">
        <v>-5.66</v>
      </c>
      <c r="D21" s="149" t="s">
        <v>165</v>
      </c>
      <c r="E21" s="136" t="s">
        <v>9</v>
      </c>
      <c r="F21" s="136" t="s">
        <v>105</v>
      </c>
      <c r="G21" s="136" t="s">
        <v>164</v>
      </c>
      <c r="H21" t="s">
        <v>166</v>
      </c>
      <c r="K21"/>
      <c r="L21"/>
      <c r="M21"/>
    </row>
    <row r="22" spans="2:13" ht="28.8" customHeight="1" x14ac:dyDescent="0.3">
      <c r="B22" s="150">
        <v>46141</v>
      </c>
      <c r="C22">
        <v>-2</v>
      </c>
      <c r="D22" s="149" t="s">
        <v>179</v>
      </c>
      <c r="H22" t="s">
        <v>166</v>
      </c>
      <c r="K22"/>
      <c r="L22"/>
      <c r="M22"/>
    </row>
    <row r="23" spans="2:13" ht="28.8" customHeight="1" x14ac:dyDescent="0.3">
      <c r="B23" s="150">
        <v>46141</v>
      </c>
      <c r="C23">
        <v>-1.79</v>
      </c>
      <c r="D23" s="149" t="s">
        <v>165</v>
      </c>
      <c r="E23" s="136" t="s">
        <v>9</v>
      </c>
      <c r="F23" s="136" t="s">
        <v>105</v>
      </c>
      <c r="G23" s="136" t="s">
        <v>164</v>
      </c>
      <c r="H23" t="s">
        <v>166</v>
      </c>
      <c r="K23"/>
      <c r="L23"/>
      <c r="M23"/>
    </row>
    <row r="24" spans="2:13" ht="28.8" customHeight="1" x14ac:dyDescent="0.3">
      <c r="B24" s="150">
        <v>46140</v>
      </c>
      <c r="C24">
        <v>-149</v>
      </c>
      <c r="D24" s="149" t="s">
        <v>180</v>
      </c>
      <c r="H24" t="s">
        <v>181</v>
      </c>
      <c r="K24"/>
      <c r="L24"/>
      <c r="M24"/>
    </row>
    <row r="25" spans="2:13" ht="28.8" customHeight="1" x14ac:dyDescent="0.3">
      <c r="B25" s="150">
        <v>46140</v>
      </c>
      <c r="C25">
        <v>-2.99</v>
      </c>
      <c r="D25" s="149" t="s">
        <v>180</v>
      </c>
      <c r="H25" t="s">
        <v>181</v>
      </c>
      <c r="K25"/>
      <c r="L25"/>
      <c r="M25"/>
    </row>
    <row r="26" spans="2:13" ht="28.8" customHeight="1" x14ac:dyDescent="0.3">
      <c r="B26" s="150">
        <v>46140</v>
      </c>
      <c r="C26">
        <v>-3.6</v>
      </c>
      <c r="D26" s="149" t="s">
        <v>182</v>
      </c>
      <c r="H26" t="s">
        <v>183</v>
      </c>
      <c r="K26"/>
      <c r="L26"/>
      <c r="M26"/>
    </row>
    <row r="27" spans="2:13" ht="28.8" customHeight="1" x14ac:dyDescent="0.3">
      <c r="B27" s="150">
        <v>46140</v>
      </c>
      <c r="C27">
        <v>-37.44</v>
      </c>
      <c r="D27" s="149" t="s">
        <v>169</v>
      </c>
      <c r="E27" s="136" t="s">
        <v>9</v>
      </c>
      <c r="F27" s="136" t="s">
        <v>10</v>
      </c>
      <c r="G27" s="136" t="s">
        <v>164</v>
      </c>
      <c r="H27" t="s">
        <v>170</v>
      </c>
      <c r="K27"/>
      <c r="L27"/>
      <c r="M27"/>
    </row>
    <row r="28" spans="2:13" ht="28.8" customHeight="1" x14ac:dyDescent="0.3">
      <c r="B28" s="150">
        <v>46140</v>
      </c>
      <c r="C28">
        <v>-2.38</v>
      </c>
      <c r="D28" s="149" t="s">
        <v>184</v>
      </c>
      <c r="H28" t="s">
        <v>185</v>
      </c>
      <c r="K28"/>
      <c r="L28"/>
      <c r="M28"/>
    </row>
    <row r="29" spans="2:13" ht="28.8" customHeight="1" x14ac:dyDescent="0.3">
      <c r="B29" s="150">
        <v>46139</v>
      </c>
      <c r="C29">
        <v>-22.24</v>
      </c>
      <c r="D29" s="149" t="s">
        <v>186</v>
      </c>
      <c r="H29" t="s">
        <v>170</v>
      </c>
      <c r="K29"/>
      <c r="L29"/>
      <c r="M29"/>
    </row>
    <row r="30" spans="2:13" ht="28.8" customHeight="1" x14ac:dyDescent="0.3">
      <c r="B30" s="150">
        <v>46139</v>
      </c>
      <c r="C30">
        <v>-44.76</v>
      </c>
      <c r="D30" s="149" t="s">
        <v>169</v>
      </c>
      <c r="E30" s="136" t="s">
        <v>9</v>
      </c>
      <c r="F30" s="136" t="s">
        <v>10</v>
      </c>
      <c r="G30" s="136" t="s">
        <v>164</v>
      </c>
      <c r="H30" t="s">
        <v>170</v>
      </c>
      <c r="K30"/>
      <c r="L30"/>
      <c r="M30"/>
    </row>
    <row r="31" spans="2:13" ht="28.8" customHeight="1" x14ac:dyDescent="0.3">
      <c r="B31" s="150">
        <v>46139</v>
      </c>
      <c r="C31">
        <v>-1.5</v>
      </c>
      <c r="D31" s="149" t="s">
        <v>187</v>
      </c>
      <c r="H31" t="s">
        <v>166</v>
      </c>
      <c r="K31"/>
      <c r="L31"/>
      <c r="M31"/>
    </row>
    <row r="32" spans="2:13" ht="28.8" customHeight="1" x14ac:dyDescent="0.3">
      <c r="B32" s="150">
        <v>46139</v>
      </c>
      <c r="C32">
        <v>-50.2</v>
      </c>
      <c r="D32" s="149" t="s">
        <v>188</v>
      </c>
      <c r="H32" t="s">
        <v>170</v>
      </c>
      <c r="K32"/>
      <c r="L32"/>
      <c r="M32"/>
    </row>
    <row r="33" spans="2:13" ht="28.8" customHeight="1" x14ac:dyDescent="0.3">
      <c r="B33" s="150">
        <v>46139</v>
      </c>
      <c r="C33">
        <v>-2.82</v>
      </c>
      <c r="D33" s="149" t="s">
        <v>165</v>
      </c>
      <c r="E33" s="136" t="s">
        <v>9</v>
      </c>
      <c r="F33" s="136" t="s">
        <v>105</v>
      </c>
      <c r="G33" s="136" t="s">
        <v>164</v>
      </c>
      <c r="H33" t="s">
        <v>166</v>
      </c>
      <c r="K33"/>
      <c r="L33"/>
      <c r="M33"/>
    </row>
    <row r="34" spans="2:13" ht="28.8" customHeight="1" x14ac:dyDescent="0.3">
      <c r="B34" s="150">
        <v>46139</v>
      </c>
      <c r="C34">
        <v>-2800</v>
      </c>
      <c r="D34" s="149" t="s">
        <v>189</v>
      </c>
      <c r="H34" t="s">
        <v>12</v>
      </c>
      <c r="K34"/>
      <c r="L34"/>
      <c r="M34"/>
    </row>
    <row r="35" spans="2:13" ht="28.8" customHeight="1" x14ac:dyDescent="0.3">
      <c r="B35" s="150">
        <v>46139</v>
      </c>
      <c r="C35">
        <v>2500</v>
      </c>
      <c r="D35" s="149" t="s">
        <v>190</v>
      </c>
      <c r="H35" t="s">
        <v>191</v>
      </c>
      <c r="K35"/>
      <c r="L35"/>
      <c r="M35"/>
    </row>
    <row r="36" spans="2:13" ht="28.8" customHeight="1" x14ac:dyDescent="0.3">
      <c r="B36" s="150">
        <v>46139</v>
      </c>
      <c r="C36">
        <v>-237.89</v>
      </c>
      <c r="D36" s="149" t="s">
        <v>184</v>
      </c>
      <c r="H36" t="s">
        <v>192</v>
      </c>
      <c r="K36"/>
      <c r="L36"/>
      <c r="M36"/>
    </row>
    <row r="37" spans="2:13" ht="28.8" customHeight="1" x14ac:dyDescent="0.3">
      <c r="B37" s="150">
        <v>46136</v>
      </c>
      <c r="C37">
        <v>1116.28</v>
      </c>
      <c r="D37" s="149" t="s">
        <v>193</v>
      </c>
      <c r="H37" t="s">
        <v>194</v>
      </c>
      <c r="K37"/>
      <c r="L37"/>
      <c r="M37"/>
    </row>
    <row r="38" spans="2:13" ht="28.8" customHeight="1" x14ac:dyDescent="0.3">
      <c r="B38" s="150">
        <v>46136</v>
      </c>
      <c r="C38">
        <v>-2.88</v>
      </c>
      <c r="D38" s="149" t="s">
        <v>165</v>
      </c>
      <c r="E38" s="136" t="s">
        <v>9</v>
      </c>
      <c r="F38" s="136" t="s">
        <v>105</v>
      </c>
      <c r="G38" s="136" t="s">
        <v>164</v>
      </c>
      <c r="H38" t="s">
        <v>166</v>
      </c>
      <c r="K38"/>
      <c r="L38"/>
      <c r="M38"/>
    </row>
    <row r="39" spans="2:13" ht="28.8" customHeight="1" x14ac:dyDescent="0.3">
      <c r="B39" s="150">
        <v>46136</v>
      </c>
      <c r="C39">
        <v>-0.79</v>
      </c>
      <c r="D39" s="149" t="s">
        <v>165</v>
      </c>
      <c r="E39" s="136" t="s">
        <v>9</v>
      </c>
      <c r="F39" s="136" t="s">
        <v>105</v>
      </c>
      <c r="G39" s="136" t="s">
        <v>164</v>
      </c>
      <c r="H39" t="s">
        <v>166</v>
      </c>
      <c r="K39"/>
      <c r="L39"/>
      <c r="M39"/>
    </row>
    <row r="40" spans="2:13" ht="28.8" customHeight="1" x14ac:dyDescent="0.3">
      <c r="B40" s="150">
        <v>46136</v>
      </c>
      <c r="C40">
        <v>-237.6</v>
      </c>
      <c r="D40" s="149" t="s">
        <v>195</v>
      </c>
      <c r="H40" t="s">
        <v>196</v>
      </c>
      <c r="K40"/>
      <c r="L40"/>
      <c r="M40"/>
    </row>
    <row r="41" spans="2:13" ht="28.8" customHeight="1" x14ac:dyDescent="0.3">
      <c r="B41" s="150">
        <v>46136</v>
      </c>
      <c r="C41">
        <v>-2</v>
      </c>
      <c r="D41" s="149" t="s">
        <v>187</v>
      </c>
      <c r="H41" t="s">
        <v>166</v>
      </c>
      <c r="K41"/>
      <c r="L41"/>
      <c r="M41"/>
    </row>
    <row r="42" spans="2:13" ht="28.8" customHeight="1" x14ac:dyDescent="0.3">
      <c r="B42" s="150">
        <v>46136</v>
      </c>
      <c r="C42">
        <v>-0.99</v>
      </c>
      <c r="D42" s="149" t="s">
        <v>165</v>
      </c>
      <c r="E42" s="136" t="s">
        <v>9</v>
      </c>
      <c r="F42" s="136" t="s">
        <v>105</v>
      </c>
      <c r="G42" s="136" t="s">
        <v>164</v>
      </c>
      <c r="H42" t="s">
        <v>166</v>
      </c>
      <c r="K42"/>
      <c r="L42"/>
      <c r="M42"/>
    </row>
    <row r="43" spans="2:13" ht="28.8" customHeight="1" x14ac:dyDescent="0.3">
      <c r="B43" s="150">
        <v>46135</v>
      </c>
      <c r="C43">
        <v>-1000</v>
      </c>
      <c r="D43" s="149" t="s">
        <v>197</v>
      </c>
      <c r="H43" t="s">
        <v>198</v>
      </c>
      <c r="K43"/>
      <c r="L43"/>
      <c r="M43"/>
    </row>
    <row r="44" spans="2:13" ht="28.8" customHeight="1" x14ac:dyDescent="0.3">
      <c r="B44" s="150">
        <v>46134</v>
      </c>
      <c r="C44">
        <v>-3.09</v>
      </c>
      <c r="D44" s="149" t="s">
        <v>165</v>
      </c>
      <c r="E44" s="136" t="s">
        <v>9</v>
      </c>
      <c r="F44" s="136" t="s">
        <v>105</v>
      </c>
      <c r="G44" s="136" t="s">
        <v>164</v>
      </c>
      <c r="H44" t="s">
        <v>166</v>
      </c>
      <c r="K44"/>
      <c r="L44"/>
      <c r="M44"/>
    </row>
    <row r="45" spans="2:13" ht="28.8" customHeight="1" x14ac:dyDescent="0.3">
      <c r="B45" s="150">
        <v>46134</v>
      </c>
      <c r="C45">
        <v>-2.88</v>
      </c>
      <c r="D45" s="149" t="s">
        <v>165</v>
      </c>
      <c r="E45" s="136" t="s">
        <v>9</v>
      </c>
      <c r="F45" s="136" t="s">
        <v>105</v>
      </c>
      <c r="G45" s="136" t="s">
        <v>164</v>
      </c>
      <c r="H45" t="s">
        <v>166</v>
      </c>
      <c r="K45"/>
      <c r="L45"/>
      <c r="M45"/>
    </row>
    <row r="46" spans="2:13" ht="28.8" customHeight="1" x14ac:dyDescent="0.3">
      <c r="B46" s="150">
        <v>46134</v>
      </c>
      <c r="C46">
        <v>-3.62</v>
      </c>
      <c r="D46" s="149" t="s">
        <v>165</v>
      </c>
      <c r="E46" s="136" t="s">
        <v>9</v>
      </c>
      <c r="F46" s="136" t="s">
        <v>105</v>
      </c>
      <c r="G46" s="136" t="s">
        <v>164</v>
      </c>
      <c r="H46" t="s">
        <v>166</v>
      </c>
      <c r="K46"/>
      <c r="L46"/>
      <c r="M46"/>
    </row>
    <row r="47" spans="2:13" ht="28.8" customHeight="1" x14ac:dyDescent="0.3">
      <c r="B47" s="150">
        <v>46133</v>
      </c>
      <c r="C47">
        <v>2000</v>
      </c>
      <c r="D47" s="149" t="s">
        <v>190</v>
      </c>
      <c r="H47" t="s">
        <v>199</v>
      </c>
      <c r="K47"/>
      <c r="L47"/>
      <c r="M47"/>
    </row>
    <row r="48" spans="2:13" ht="28.8" customHeight="1" x14ac:dyDescent="0.3">
      <c r="B48" s="150">
        <v>46133</v>
      </c>
      <c r="C48">
        <v>-42.54</v>
      </c>
      <c r="D48" s="149" t="s">
        <v>184</v>
      </c>
      <c r="H48" t="s">
        <v>200</v>
      </c>
      <c r="K48"/>
      <c r="L48"/>
      <c r="M48"/>
    </row>
    <row r="49" spans="2:13" ht="28.8" customHeight="1" x14ac:dyDescent="0.3">
      <c r="B49" s="150">
        <v>46132</v>
      </c>
      <c r="C49">
        <v>-1.63</v>
      </c>
      <c r="D49" s="149" t="s">
        <v>165</v>
      </c>
      <c r="E49" s="136" t="s">
        <v>9</v>
      </c>
      <c r="F49" s="136" t="s">
        <v>105</v>
      </c>
      <c r="G49" s="136" t="s">
        <v>164</v>
      </c>
      <c r="H49" t="s">
        <v>166</v>
      </c>
      <c r="K49"/>
      <c r="L49"/>
      <c r="M49"/>
    </row>
    <row r="50" spans="2:13" ht="28.8" customHeight="1" x14ac:dyDescent="0.3">
      <c r="B50" s="150">
        <v>46127</v>
      </c>
      <c r="C50">
        <v>-1.79</v>
      </c>
      <c r="D50" s="149" t="s">
        <v>165</v>
      </c>
      <c r="E50" s="136" t="s">
        <v>9</v>
      </c>
      <c r="F50" s="136" t="s">
        <v>105</v>
      </c>
      <c r="G50" s="136" t="s">
        <v>164</v>
      </c>
      <c r="H50" t="s">
        <v>166</v>
      </c>
      <c r="K50"/>
      <c r="L50"/>
      <c r="M50"/>
    </row>
    <row r="51" spans="2:13" ht="28.8" customHeight="1" x14ac:dyDescent="0.3">
      <c r="B51" s="150">
        <v>46127</v>
      </c>
      <c r="C51">
        <v>-0.74</v>
      </c>
      <c r="D51" s="149" t="s">
        <v>165</v>
      </c>
      <c r="E51" s="136" t="s">
        <v>9</v>
      </c>
      <c r="F51" s="136" t="s">
        <v>105</v>
      </c>
      <c r="G51" s="136" t="s">
        <v>164</v>
      </c>
      <c r="H51" t="s">
        <v>166</v>
      </c>
      <c r="K51"/>
      <c r="L51"/>
      <c r="M51"/>
    </row>
    <row r="52" spans="2:13" ht="28.8" customHeight="1" x14ac:dyDescent="0.3">
      <c r="B52" s="150">
        <v>46127</v>
      </c>
      <c r="C52">
        <v>-2.88</v>
      </c>
      <c r="D52" s="149" t="s">
        <v>165</v>
      </c>
      <c r="E52" s="136" t="s">
        <v>9</v>
      </c>
      <c r="F52" s="136" t="s">
        <v>105</v>
      </c>
      <c r="G52" s="136" t="s">
        <v>164</v>
      </c>
      <c r="H52" t="s">
        <v>166</v>
      </c>
      <c r="K52"/>
      <c r="L52"/>
      <c r="M52"/>
    </row>
    <row r="53" spans="2:13" ht="28.8" customHeight="1" x14ac:dyDescent="0.3">
      <c r="B53" s="150">
        <v>46126</v>
      </c>
      <c r="C53">
        <v>-1.4</v>
      </c>
      <c r="D53" s="149" t="s">
        <v>165</v>
      </c>
      <c r="E53" s="136" t="s">
        <v>9</v>
      </c>
      <c r="F53" s="136" t="s">
        <v>105</v>
      </c>
      <c r="G53" s="136" t="s">
        <v>164</v>
      </c>
      <c r="H53" t="s">
        <v>166</v>
      </c>
      <c r="K53"/>
      <c r="L53"/>
      <c r="M53"/>
    </row>
    <row r="54" spans="2:13" ht="28.8" customHeight="1" x14ac:dyDescent="0.3">
      <c r="B54" s="150">
        <v>46126</v>
      </c>
      <c r="C54">
        <v>-0.39</v>
      </c>
      <c r="D54" s="149" t="s">
        <v>165</v>
      </c>
      <c r="E54" s="136" t="s">
        <v>9</v>
      </c>
      <c r="F54" s="136" t="s">
        <v>105</v>
      </c>
      <c r="G54" s="136" t="s">
        <v>164</v>
      </c>
      <c r="H54" t="s">
        <v>166</v>
      </c>
      <c r="K54"/>
      <c r="L54"/>
      <c r="M54"/>
    </row>
    <row r="55" spans="2:13" ht="28.8" customHeight="1" x14ac:dyDescent="0.3">
      <c r="B55" s="150">
        <v>46126</v>
      </c>
      <c r="C55">
        <v>-54</v>
      </c>
      <c r="D55" s="149" t="s">
        <v>201</v>
      </c>
      <c r="H55" t="s">
        <v>166</v>
      </c>
      <c r="K55"/>
      <c r="L55"/>
      <c r="M55"/>
    </row>
    <row r="56" spans="2:13" ht="28.8" customHeight="1" x14ac:dyDescent="0.3">
      <c r="B56" s="150">
        <v>46126</v>
      </c>
      <c r="C56">
        <v>-48.92</v>
      </c>
      <c r="D56" s="149" t="s">
        <v>202</v>
      </c>
      <c r="H56" t="s">
        <v>203</v>
      </c>
      <c r="K56"/>
      <c r="L56"/>
      <c r="M56"/>
    </row>
    <row r="57" spans="2:13" ht="28.8" customHeight="1" x14ac:dyDescent="0.3">
      <c r="B57" s="150">
        <v>46126</v>
      </c>
      <c r="C57">
        <v>-29.05</v>
      </c>
      <c r="D57" s="149" t="s">
        <v>204</v>
      </c>
      <c r="H57" t="s">
        <v>166</v>
      </c>
      <c r="K57"/>
      <c r="L57"/>
      <c r="M57"/>
    </row>
    <row r="58" spans="2:13" ht="28.8" customHeight="1" x14ac:dyDescent="0.3">
      <c r="B58" s="150">
        <v>46125</v>
      </c>
      <c r="C58">
        <v>-1.08</v>
      </c>
      <c r="D58" s="149" t="s">
        <v>202</v>
      </c>
      <c r="H58" t="s">
        <v>205</v>
      </c>
      <c r="K58"/>
      <c r="L58"/>
      <c r="M58"/>
    </row>
    <row r="59" spans="2:13" ht="28.8" customHeight="1" x14ac:dyDescent="0.3">
      <c r="B59" s="150">
        <v>46125</v>
      </c>
      <c r="C59">
        <v>-49.98</v>
      </c>
      <c r="D59" s="149" t="s">
        <v>188</v>
      </c>
      <c r="H59" t="s">
        <v>170</v>
      </c>
      <c r="K59"/>
      <c r="L59"/>
      <c r="M59"/>
    </row>
    <row r="60" spans="2:13" ht="28.8" customHeight="1" x14ac:dyDescent="0.3">
      <c r="B60" s="150">
        <v>46125</v>
      </c>
      <c r="C60">
        <v>-1.39</v>
      </c>
      <c r="D60" s="149" t="s">
        <v>165</v>
      </c>
      <c r="E60" s="136" t="s">
        <v>9</v>
      </c>
      <c r="F60" s="136" t="s">
        <v>105</v>
      </c>
      <c r="G60" s="136" t="s">
        <v>164</v>
      </c>
      <c r="H60" t="s">
        <v>166</v>
      </c>
      <c r="K60"/>
      <c r="L60"/>
      <c r="M60"/>
    </row>
    <row r="61" spans="2:13" ht="28.8" customHeight="1" x14ac:dyDescent="0.3">
      <c r="B61" s="150">
        <v>46125</v>
      </c>
      <c r="C61">
        <v>-3.48</v>
      </c>
      <c r="D61" s="149" t="s">
        <v>165</v>
      </c>
      <c r="E61" s="136" t="s">
        <v>9</v>
      </c>
      <c r="F61" s="136" t="s">
        <v>105</v>
      </c>
      <c r="G61" s="136" t="s">
        <v>164</v>
      </c>
      <c r="H61" t="s">
        <v>166</v>
      </c>
      <c r="K61"/>
      <c r="L61"/>
      <c r="M61"/>
    </row>
    <row r="62" spans="2:13" ht="28.8" customHeight="1" x14ac:dyDescent="0.3">
      <c r="B62" s="150">
        <v>46125</v>
      </c>
      <c r="C62">
        <v>-0.39</v>
      </c>
      <c r="D62" s="149" t="s">
        <v>165</v>
      </c>
      <c r="E62" s="136" t="s">
        <v>9</v>
      </c>
      <c r="F62" s="136" t="s">
        <v>105</v>
      </c>
      <c r="G62" s="136" t="s">
        <v>164</v>
      </c>
      <c r="H62" t="s">
        <v>166</v>
      </c>
      <c r="K62"/>
      <c r="L62"/>
      <c r="M62"/>
    </row>
    <row r="63" spans="2:13" ht="28.8" customHeight="1" x14ac:dyDescent="0.3">
      <c r="B63" s="150">
        <v>46123</v>
      </c>
      <c r="C63">
        <v>84.27</v>
      </c>
      <c r="D63" s="149" t="s">
        <v>173</v>
      </c>
      <c r="H63" t="s">
        <v>174</v>
      </c>
      <c r="K63"/>
      <c r="L63"/>
      <c r="M63"/>
    </row>
    <row r="64" spans="2:13" ht="28.8" customHeight="1" x14ac:dyDescent="0.3">
      <c r="B64" s="150">
        <v>46122</v>
      </c>
      <c r="C64">
        <v>-1.04</v>
      </c>
      <c r="D64" s="149" t="s">
        <v>165</v>
      </c>
      <c r="E64" s="136" t="s">
        <v>9</v>
      </c>
      <c r="F64" s="136" t="s">
        <v>105</v>
      </c>
      <c r="G64" s="136" t="s">
        <v>164</v>
      </c>
      <c r="H64" t="s">
        <v>166</v>
      </c>
      <c r="K64"/>
      <c r="L64"/>
      <c r="M64"/>
    </row>
    <row r="65" spans="2:13" ht="28.8" customHeight="1" x14ac:dyDescent="0.3">
      <c r="B65" s="150">
        <v>46122</v>
      </c>
      <c r="C65">
        <v>-2.88</v>
      </c>
      <c r="D65" s="149" t="s">
        <v>165</v>
      </c>
      <c r="E65" s="136" t="s">
        <v>9</v>
      </c>
      <c r="F65" s="136" t="s">
        <v>105</v>
      </c>
      <c r="G65" s="136" t="s">
        <v>164</v>
      </c>
      <c r="H65" t="s">
        <v>166</v>
      </c>
      <c r="K65"/>
      <c r="L65"/>
      <c r="M65"/>
    </row>
    <row r="66" spans="2:13" ht="28.8" customHeight="1" x14ac:dyDescent="0.3">
      <c r="B66" s="150">
        <v>46122</v>
      </c>
      <c r="C66">
        <v>-2</v>
      </c>
      <c r="D66" s="149" t="s">
        <v>187</v>
      </c>
      <c r="H66" t="s">
        <v>166</v>
      </c>
      <c r="K66"/>
      <c r="L66"/>
      <c r="M66"/>
    </row>
    <row r="67" spans="2:13" ht="28.8" customHeight="1" x14ac:dyDescent="0.3">
      <c r="B67" s="150">
        <v>46121</v>
      </c>
      <c r="C67">
        <v>-49.55</v>
      </c>
      <c r="D67" s="149" t="s">
        <v>206</v>
      </c>
      <c r="H67" t="s">
        <v>170</v>
      </c>
      <c r="K67"/>
      <c r="L67"/>
      <c r="M67"/>
    </row>
    <row r="68" spans="2:13" ht="28.8" customHeight="1" x14ac:dyDescent="0.3">
      <c r="B68" s="150">
        <v>46121</v>
      </c>
      <c r="C68">
        <v>-3.19</v>
      </c>
      <c r="D68" s="149" t="s">
        <v>207</v>
      </c>
      <c r="H68" t="s">
        <v>170</v>
      </c>
      <c r="K68"/>
      <c r="L68"/>
      <c r="M68"/>
    </row>
    <row r="69" spans="2:13" ht="28.8" customHeight="1" x14ac:dyDescent="0.3">
      <c r="B69" s="150">
        <v>46121</v>
      </c>
      <c r="C69">
        <v>-24.95</v>
      </c>
      <c r="D69" s="149" t="s">
        <v>208</v>
      </c>
      <c r="H69" t="s">
        <v>178</v>
      </c>
      <c r="K69"/>
      <c r="L69"/>
      <c r="M69"/>
    </row>
    <row r="70" spans="2:13" ht="28.8" customHeight="1" x14ac:dyDescent="0.3">
      <c r="B70" s="150">
        <v>46121</v>
      </c>
      <c r="C70">
        <v>-16.989999999999998</v>
      </c>
      <c r="D70" s="149" t="s">
        <v>209</v>
      </c>
      <c r="H70" t="s">
        <v>178</v>
      </c>
      <c r="K70"/>
      <c r="L70"/>
      <c r="M70"/>
    </row>
    <row r="71" spans="2:13" ht="28.8" customHeight="1" x14ac:dyDescent="0.3">
      <c r="B71" s="150">
        <v>46120</v>
      </c>
      <c r="C71">
        <v>-49.99</v>
      </c>
      <c r="D71" s="149" t="s">
        <v>184</v>
      </c>
      <c r="H71" t="s">
        <v>210</v>
      </c>
      <c r="K71"/>
      <c r="L71"/>
      <c r="M71"/>
    </row>
    <row r="72" spans="2:13" ht="28.8" customHeight="1" x14ac:dyDescent="0.3">
      <c r="B72" s="150">
        <v>46120</v>
      </c>
      <c r="C72">
        <v>-10.99</v>
      </c>
      <c r="D72" s="149" t="s">
        <v>184</v>
      </c>
      <c r="H72" t="s">
        <v>211</v>
      </c>
      <c r="K72"/>
      <c r="L72"/>
      <c r="M72"/>
    </row>
    <row r="73" spans="2:13" ht="28.8" customHeight="1" x14ac:dyDescent="0.3">
      <c r="B73" s="150">
        <v>46120</v>
      </c>
      <c r="C73">
        <v>-16.3</v>
      </c>
      <c r="D73" s="149" t="s">
        <v>184</v>
      </c>
      <c r="H73" t="s">
        <v>212</v>
      </c>
      <c r="K73"/>
      <c r="L73"/>
      <c r="M73"/>
    </row>
    <row r="74" spans="2:13" ht="28.8" customHeight="1" x14ac:dyDescent="0.3">
      <c r="B74" s="150">
        <v>46119</v>
      </c>
      <c r="C74">
        <v>13</v>
      </c>
      <c r="D74" s="149" t="s">
        <v>193</v>
      </c>
      <c r="H74" t="s">
        <v>213</v>
      </c>
      <c r="K74"/>
      <c r="L74"/>
      <c r="M74"/>
    </row>
    <row r="75" spans="2:13" ht="28.8" customHeight="1" x14ac:dyDescent="0.3">
      <c r="B75" s="150">
        <v>46114</v>
      </c>
      <c r="C75">
        <v>-1.79</v>
      </c>
      <c r="D75" s="149" t="s">
        <v>165</v>
      </c>
      <c r="E75" s="136" t="s">
        <v>9</v>
      </c>
      <c r="F75" s="136" t="s">
        <v>105</v>
      </c>
      <c r="G75" s="136" t="s">
        <v>164</v>
      </c>
      <c r="H75" t="s">
        <v>166</v>
      </c>
      <c r="K75"/>
      <c r="L75"/>
      <c r="M75"/>
    </row>
    <row r="76" spans="2:13" ht="28.8" customHeight="1" x14ac:dyDescent="0.3">
      <c r="B76" s="150">
        <v>46114</v>
      </c>
      <c r="C76">
        <v>-18.14</v>
      </c>
      <c r="D76" s="149" t="s">
        <v>169</v>
      </c>
      <c r="E76" s="136" t="s">
        <v>9</v>
      </c>
      <c r="F76" s="136" t="s">
        <v>10</v>
      </c>
      <c r="G76" s="136" t="s">
        <v>164</v>
      </c>
      <c r="H76" t="s">
        <v>170</v>
      </c>
      <c r="K76"/>
      <c r="L76"/>
      <c r="M76"/>
    </row>
    <row r="77" spans="2:13" ht="28.8" customHeight="1" x14ac:dyDescent="0.3">
      <c r="B77" s="150">
        <v>46114</v>
      </c>
      <c r="C77">
        <v>-2</v>
      </c>
      <c r="D77" s="149" t="s">
        <v>179</v>
      </c>
      <c r="H77" t="s">
        <v>166</v>
      </c>
      <c r="K77"/>
      <c r="L77"/>
      <c r="M77"/>
    </row>
    <row r="78" spans="2:13" ht="28.8" customHeight="1" x14ac:dyDescent="0.3">
      <c r="B78" s="150">
        <v>46114</v>
      </c>
      <c r="C78">
        <v>-137.91</v>
      </c>
      <c r="D78" s="149" t="s">
        <v>214</v>
      </c>
      <c r="H78" t="s">
        <v>178</v>
      </c>
      <c r="K78"/>
      <c r="L78"/>
      <c r="M78"/>
    </row>
    <row r="79" spans="2:13" ht="28.8" customHeight="1" x14ac:dyDescent="0.3">
      <c r="B79" s="150">
        <v>46114</v>
      </c>
      <c r="C79">
        <v>-63</v>
      </c>
      <c r="D79" s="149" t="s">
        <v>215</v>
      </c>
      <c r="H79" t="s">
        <v>216</v>
      </c>
      <c r="K79"/>
      <c r="L79"/>
      <c r="M79"/>
    </row>
    <row r="80" spans="2:13" ht="28.8" customHeight="1" x14ac:dyDescent="0.3">
      <c r="B80" s="150">
        <v>46112</v>
      </c>
      <c r="C80">
        <v>-26.99</v>
      </c>
      <c r="D80" s="149" t="s">
        <v>175</v>
      </c>
      <c r="E80" s="136" t="s">
        <v>9</v>
      </c>
      <c r="H80" t="s">
        <v>176</v>
      </c>
      <c r="K80"/>
      <c r="L80"/>
      <c r="M80"/>
    </row>
    <row r="81" spans="2:13" ht="28.8" customHeight="1" x14ac:dyDescent="0.3">
      <c r="B81" s="150">
        <v>46112</v>
      </c>
      <c r="C81">
        <v>-16.579999999999998</v>
      </c>
      <c r="D81" s="149" t="s">
        <v>217</v>
      </c>
      <c r="H81" t="s">
        <v>170</v>
      </c>
      <c r="K81"/>
      <c r="L81"/>
      <c r="M81"/>
    </row>
    <row r="82" spans="2:13" ht="28.8" customHeight="1" x14ac:dyDescent="0.3">
      <c r="B82" s="150">
        <v>46112</v>
      </c>
      <c r="C82">
        <v>-43</v>
      </c>
      <c r="D82" s="149" t="s">
        <v>218</v>
      </c>
      <c r="H82" t="s">
        <v>219</v>
      </c>
      <c r="K82"/>
      <c r="L82"/>
      <c r="M82"/>
    </row>
    <row r="83" spans="2:13" ht="28.8" customHeight="1" x14ac:dyDescent="0.3">
      <c r="B83" s="150">
        <v>46112</v>
      </c>
      <c r="C83">
        <v>-259.89999999999998</v>
      </c>
      <c r="D83" s="149" t="s">
        <v>220</v>
      </c>
      <c r="H83" t="s">
        <v>221</v>
      </c>
      <c r="K83"/>
      <c r="L83"/>
      <c r="M83"/>
    </row>
    <row r="84" spans="2:13" ht="28.8" customHeight="1" x14ac:dyDescent="0.3">
      <c r="B84" s="150">
        <v>46112</v>
      </c>
      <c r="C84">
        <v>-1.92</v>
      </c>
      <c r="D84" s="149" t="s">
        <v>165</v>
      </c>
      <c r="E84" s="136" t="s">
        <v>9</v>
      </c>
      <c r="F84" s="136" t="s">
        <v>105</v>
      </c>
      <c r="G84" s="136" t="s">
        <v>164</v>
      </c>
      <c r="H84" t="s">
        <v>170</v>
      </c>
      <c r="K84"/>
      <c r="L84"/>
      <c r="M84"/>
    </row>
    <row r="85" spans="2:13" ht="28.8" customHeight="1" x14ac:dyDescent="0.3">
      <c r="B85" s="150">
        <v>46112</v>
      </c>
      <c r="C85">
        <v>-54.49</v>
      </c>
      <c r="D85" s="149" t="s">
        <v>184</v>
      </c>
      <c r="H85" t="s">
        <v>222</v>
      </c>
      <c r="K85"/>
      <c r="L85"/>
      <c r="M85"/>
    </row>
    <row r="86" spans="2:13" ht="28.8" customHeight="1" x14ac:dyDescent="0.3">
      <c r="B86" s="150">
        <v>46111</v>
      </c>
      <c r="C86">
        <v>-27</v>
      </c>
      <c r="D86" s="149" t="s">
        <v>223</v>
      </c>
      <c r="H86" t="s">
        <v>224</v>
      </c>
      <c r="K86"/>
      <c r="L86"/>
      <c r="M86"/>
    </row>
    <row r="87" spans="2:13" ht="28.8" customHeight="1" x14ac:dyDescent="0.3">
      <c r="B87" s="150">
        <v>46111</v>
      </c>
      <c r="C87">
        <v>-6.95</v>
      </c>
      <c r="D87" s="149" t="s">
        <v>225</v>
      </c>
      <c r="H87" t="s">
        <v>224</v>
      </c>
      <c r="K87"/>
      <c r="L87"/>
      <c r="M87"/>
    </row>
    <row r="88" spans="2:13" ht="28.8" customHeight="1" x14ac:dyDescent="0.3">
      <c r="B88" s="150">
        <v>46111</v>
      </c>
      <c r="C88">
        <v>-7</v>
      </c>
      <c r="D88" s="149" t="s">
        <v>226</v>
      </c>
      <c r="H88" t="s">
        <v>224</v>
      </c>
      <c r="K88"/>
      <c r="L88"/>
      <c r="M88"/>
    </row>
    <row r="89" spans="2:13" ht="28.8" customHeight="1" x14ac:dyDescent="0.3">
      <c r="B89" s="150">
        <v>46111</v>
      </c>
      <c r="C89">
        <v>-2.5</v>
      </c>
      <c r="D89" s="149" t="s">
        <v>227</v>
      </c>
      <c r="H89" t="s">
        <v>224</v>
      </c>
      <c r="K89"/>
      <c r="L89"/>
      <c r="M89"/>
    </row>
    <row r="90" spans="2:13" ht="28.8" customHeight="1" x14ac:dyDescent="0.3">
      <c r="B90" s="150">
        <v>46111</v>
      </c>
      <c r="C90">
        <v>-0.54</v>
      </c>
      <c r="D90" s="149" t="s">
        <v>217</v>
      </c>
      <c r="H90" t="s">
        <v>224</v>
      </c>
      <c r="K90"/>
      <c r="L90"/>
      <c r="M90"/>
    </row>
    <row r="91" spans="2:13" ht="28.8" customHeight="1" x14ac:dyDescent="0.3">
      <c r="B91" s="150">
        <v>46111</v>
      </c>
      <c r="C91">
        <v>-32</v>
      </c>
      <c r="D91" s="149" t="s">
        <v>228</v>
      </c>
      <c r="H91" t="s">
        <v>224</v>
      </c>
      <c r="K91"/>
      <c r="L91"/>
      <c r="M91"/>
    </row>
    <row r="92" spans="2:13" ht="28.8" customHeight="1" x14ac:dyDescent="0.3">
      <c r="B92" s="150">
        <v>46111</v>
      </c>
      <c r="C92">
        <v>-8</v>
      </c>
      <c r="D92" s="149" t="s">
        <v>184</v>
      </c>
      <c r="H92" t="s">
        <v>229</v>
      </c>
      <c r="K92"/>
      <c r="L92"/>
      <c r="M92"/>
    </row>
    <row r="93" spans="2:13" ht="28.8" customHeight="1" x14ac:dyDescent="0.3">
      <c r="B93" s="150">
        <v>46109</v>
      </c>
      <c r="C93">
        <v>75.989999999999995</v>
      </c>
      <c r="D93" s="149" t="s">
        <v>173</v>
      </c>
      <c r="H93" t="s">
        <v>174</v>
      </c>
      <c r="K93"/>
      <c r="L93"/>
      <c r="M93"/>
    </row>
    <row r="94" spans="2:13" ht="28.8" customHeight="1" x14ac:dyDescent="0.3">
      <c r="B94" s="150">
        <v>46108</v>
      </c>
      <c r="C94">
        <v>-50</v>
      </c>
      <c r="D94" s="149" t="s">
        <v>230</v>
      </c>
      <c r="H94" t="s">
        <v>231</v>
      </c>
      <c r="K94"/>
      <c r="L94"/>
      <c r="M94"/>
    </row>
    <row r="95" spans="2:13" ht="28.8" customHeight="1" x14ac:dyDescent="0.3">
      <c r="B95" s="150">
        <v>46108</v>
      </c>
      <c r="C95">
        <v>-40</v>
      </c>
      <c r="D95" s="149" t="s">
        <v>232</v>
      </c>
      <c r="H95" t="s">
        <v>224</v>
      </c>
      <c r="K95"/>
      <c r="L95"/>
      <c r="M95"/>
    </row>
    <row r="96" spans="2:13" ht="28.8" customHeight="1" x14ac:dyDescent="0.3">
      <c r="B96" s="150">
        <v>46108</v>
      </c>
      <c r="C96">
        <v>-27</v>
      </c>
      <c r="D96" s="149" t="s">
        <v>184</v>
      </c>
      <c r="H96" t="s">
        <v>233</v>
      </c>
      <c r="K96"/>
      <c r="L96"/>
      <c r="M96"/>
    </row>
    <row r="97" spans="2:13" ht="28.8" customHeight="1" x14ac:dyDescent="0.3">
      <c r="B97" s="150">
        <v>46107</v>
      </c>
      <c r="C97">
        <v>-21.99</v>
      </c>
      <c r="D97" s="149" t="s">
        <v>215</v>
      </c>
      <c r="H97" t="s">
        <v>234</v>
      </c>
      <c r="K97"/>
      <c r="L97"/>
      <c r="M97"/>
    </row>
    <row r="98" spans="2:13" ht="28.8" customHeight="1" x14ac:dyDescent="0.3">
      <c r="B98" s="150">
        <v>46107</v>
      </c>
      <c r="C98">
        <v>-23</v>
      </c>
      <c r="D98" s="149" t="s">
        <v>184</v>
      </c>
      <c r="H98" t="s">
        <v>235</v>
      </c>
      <c r="K98"/>
      <c r="L98"/>
      <c r="M98"/>
    </row>
    <row r="99" spans="2:13" ht="28.8" customHeight="1" x14ac:dyDescent="0.3">
      <c r="B99" s="150">
        <v>46106</v>
      </c>
      <c r="C99">
        <v>1116.28</v>
      </c>
      <c r="D99" s="149" t="s">
        <v>193</v>
      </c>
      <c r="H99" t="s">
        <v>236</v>
      </c>
      <c r="K99"/>
      <c r="L99"/>
      <c r="M99"/>
    </row>
    <row r="100" spans="2:13" ht="28.8" customHeight="1" x14ac:dyDescent="0.3">
      <c r="B100" s="150">
        <v>46106</v>
      </c>
      <c r="C100">
        <v>-28.5</v>
      </c>
      <c r="D100" s="149" t="s">
        <v>184</v>
      </c>
      <c r="H100" t="s">
        <v>237</v>
      </c>
      <c r="K100"/>
      <c r="L100"/>
      <c r="M100"/>
    </row>
    <row r="101" spans="2:13" ht="28.8" customHeight="1" x14ac:dyDescent="0.3">
      <c r="B101" s="150">
        <v>46105</v>
      </c>
      <c r="C101">
        <v>-19.989999999999998</v>
      </c>
      <c r="D101" s="149" t="s">
        <v>195</v>
      </c>
      <c r="H101" t="s">
        <v>196</v>
      </c>
      <c r="K101"/>
      <c r="L101"/>
      <c r="M101"/>
    </row>
    <row r="102" spans="2:13" ht="28.8" customHeight="1" x14ac:dyDescent="0.3">
      <c r="B102" s="150">
        <v>46105</v>
      </c>
      <c r="C102">
        <v>-25.49</v>
      </c>
      <c r="D102" s="149" t="s">
        <v>186</v>
      </c>
      <c r="H102" t="s">
        <v>170</v>
      </c>
      <c r="K102"/>
      <c r="L102"/>
      <c r="M102"/>
    </row>
    <row r="103" spans="2:13" ht="28.8" customHeight="1" x14ac:dyDescent="0.3">
      <c r="B103" s="150">
        <v>46105</v>
      </c>
      <c r="C103">
        <v>-25.37</v>
      </c>
      <c r="D103" s="149" t="s">
        <v>169</v>
      </c>
      <c r="E103" s="136" t="s">
        <v>9</v>
      </c>
      <c r="F103" s="136" t="s">
        <v>10</v>
      </c>
      <c r="G103" s="136" t="s">
        <v>164</v>
      </c>
      <c r="H103" t="s">
        <v>170</v>
      </c>
      <c r="K103"/>
      <c r="L103"/>
      <c r="M103"/>
    </row>
    <row r="104" spans="2:13" ht="28.8" customHeight="1" x14ac:dyDescent="0.3">
      <c r="B104" s="150">
        <v>46105</v>
      </c>
      <c r="C104">
        <v>-12.99</v>
      </c>
      <c r="D104" s="149" t="s">
        <v>195</v>
      </c>
      <c r="H104" t="s">
        <v>196</v>
      </c>
      <c r="K104"/>
      <c r="L104"/>
      <c r="M104"/>
    </row>
    <row r="105" spans="2:13" ht="28.8" customHeight="1" x14ac:dyDescent="0.3">
      <c r="B105" s="150">
        <v>46105</v>
      </c>
      <c r="C105">
        <v>-8.44</v>
      </c>
      <c r="D105" s="149" t="s">
        <v>169</v>
      </c>
      <c r="E105" s="136" t="s">
        <v>9</v>
      </c>
      <c r="F105" s="136" t="s">
        <v>10</v>
      </c>
      <c r="G105" s="136" t="s">
        <v>164</v>
      </c>
      <c r="H105" t="s">
        <v>170</v>
      </c>
      <c r="K105"/>
      <c r="L105"/>
      <c r="M105"/>
    </row>
    <row r="106" spans="2:13" ht="28.8" customHeight="1" x14ac:dyDescent="0.3">
      <c r="B106" s="150">
        <v>46104</v>
      </c>
      <c r="C106">
        <v>-50</v>
      </c>
      <c r="D106" s="149" t="s">
        <v>238</v>
      </c>
      <c r="H106" t="s">
        <v>239</v>
      </c>
      <c r="K106"/>
      <c r="L106"/>
      <c r="M106"/>
    </row>
    <row r="107" spans="2:13" ht="28.8" customHeight="1" x14ac:dyDescent="0.3">
      <c r="B107" s="150">
        <v>46104</v>
      </c>
      <c r="C107">
        <v>-24.99</v>
      </c>
      <c r="D107" s="149" t="s">
        <v>240</v>
      </c>
      <c r="H107" t="s">
        <v>241</v>
      </c>
      <c r="K107"/>
      <c r="L107"/>
      <c r="M107"/>
    </row>
    <row r="108" spans="2:13" ht="28.8" customHeight="1" x14ac:dyDescent="0.3">
      <c r="B108" s="150">
        <v>46104</v>
      </c>
      <c r="C108">
        <v>-77.94</v>
      </c>
      <c r="D108" s="149" t="s">
        <v>171</v>
      </c>
      <c r="E108" s="136" t="s">
        <v>9</v>
      </c>
      <c r="F108" s="136" t="s">
        <v>10</v>
      </c>
      <c r="G108" s="136" t="s">
        <v>162</v>
      </c>
      <c r="H108" t="s">
        <v>242</v>
      </c>
      <c r="K108"/>
      <c r="L108"/>
      <c r="M108"/>
    </row>
    <row r="109" spans="2:13" ht="28.8" customHeight="1" x14ac:dyDescent="0.3">
      <c r="B109" s="150">
        <v>46101</v>
      </c>
      <c r="C109">
        <v>72.03</v>
      </c>
      <c r="D109" s="149" t="s">
        <v>243</v>
      </c>
      <c r="H109" t="s">
        <v>244</v>
      </c>
      <c r="K109"/>
      <c r="L109"/>
      <c r="M109"/>
    </row>
    <row r="110" spans="2:13" ht="28.8" customHeight="1" x14ac:dyDescent="0.3">
      <c r="B110" s="150">
        <v>46101</v>
      </c>
      <c r="C110">
        <v>63</v>
      </c>
      <c r="D110" s="149" t="s">
        <v>193</v>
      </c>
      <c r="H110" t="s">
        <v>245</v>
      </c>
      <c r="K110"/>
      <c r="L110"/>
      <c r="M110"/>
    </row>
    <row r="111" spans="2:13" ht="28.8" customHeight="1" x14ac:dyDescent="0.3">
      <c r="B111" s="150">
        <v>46101</v>
      </c>
      <c r="C111">
        <v>-13.99</v>
      </c>
      <c r="D111" s="149" t="s">
        <v>195</v>
      </c>
      <c r="H111" t="s">
        <v>196</v>
      </c>
      <c r="K111"/>
      <c r="L111"/>
      <c r="M111"/>
    </row>
    <row r="112" spans="2:13" ht="28.8" customHeight="1" x14ac:dyDescent="0.3">
      <c r="B112" s="150">
        <v>46101</v>
      </c>
      <c r="C112">
        <v>90</v>
      </c>
      <c r="D112" s="149" t="s">
        <v>173</v>
      </c>
      <c r="H112" t="s">
        <v>174</v>
      </c>
      <c r="K112"/>
      <c r="L112"/>
      <c r="M112"/>
    </row>
    <row r="113" spans="2:13" ht="28.8" customHeight="1" x14ac:dyDescent="0.3">
      <c r="B113" s="150">
        <v>46100</v>
      </c>
      <c r="C113">
        <v>-1</v>
      </c>
      <c r="D113" s="149" t="s">
        <v>189</v>
      </c>
      <c r="H113"/>
      <c r="K113"/>
      <c r="L113"/>
      <c r="M113"/>
    </row>
    <row r="114" spans="2:13" ht="28.8" customHeight="1" x14ac:dyDescent="0.3">
      <c r="B114" s="150">
        <v>46100</v>
      </c>
      <c r="C114">
        <v>-5.5</v>
      </c>
      <c r="D114" s="149" t="s">
        <v>184</v>
      </c>
      <c r="H114" t="s">
        <v>246</v>
      </c>
      <c r="K114"/>
      <c r="L114"/>
      <c r="M114"/>
    </row>
    <row r="115" spans="2:13" ht="28.8" customHeight="1" x14ac:dyDescent="0.3">
      <c r="B115" s="150">
        <v>46099</v>
      </c>
      <c r="C115">
        <v>-10</v>
      </c>
      <c r="D115" s="149" t="s">
        <v>184</v>
      </c>
      <c r="H115" t="s">
        <v>247</v>
      </c>
      <c r="K115"/>
      <c r="L115"/>
      <c r="M115"/>
    </row>
    <row r="116" spans="2:13" ht="28.8" customHeight="1" x14ac:dyDescent="0.3">
      <c r="B116" s="150">
        <v>46098</v>
      </c>
      <c r="C116">
        <v>-59.96</v>
      </c>
      <c r="D116" s="149" t="s">
        <v>248</v>
      </c>
      <c r="H116" t="s">
        <v>249</v>
      </c>
      <c r="K116"/>
      <c r="L116"/>
      <c r="M116"/>
    </row>
    <row r="117" spans="2:13" ht="28.8" customHeight="1" x14ac:dyDescent="0.3">
      <c r="B117" s="150">
        <v>46097</v>
      </c>
      <c r="C117">
        <v>-27.69</v>
      </c>
      <c r="D117" s="149" t="s">
        <v>250</v>
      </c>
      <c r="H117" t="s">
        <v>178</v>
      </c>
      <c r="K117"/>
      <c r="L117"/>
      <c r="M117"/>
    </row>
    <row r="118" spans="2:13" ht="28.8" customHeight="1" x14ac:dyDescent="0.3">
      <c r="B118" s="150">
        <v>46094</v>
      </c>
      <c r="C118">
        <v>-7.76</v>
      </c>
      <c r="D118" s="149" t="s">
        <v>217</v>
      </c>
      <c r="H118" t="s">
        <v>170</v>
      </c>
      <c r="K118"/>
      <c r="L118"/>
      <c r="M118"/>
    </row>
    <row r="119" spans="2:13" ht="28.8" customHeight="1" x14ac:dyDescent="0.3">
      <c r="B119" s="150">
        <v>46093</v>
      </c>
      <c r="C119">
        <v>98.22</v>
      </c>
      <c r="D119" s="149" t="s">
        <v>243</v>
      </c>
      <c r="H119" t="s">
        <v>251</v>
      </c>
      <c r="K119"/>
      <c r="L119"/>
      <c r="M119"/>
    </row>
    <row r="120" spans="2:13" ht="28.8" customHeight="1" x14ac:dyDescent="0.3">
      <c r="B120" s="150">
        <v>46092</v>
      </c>
      <c r="C120">
        <v>-51.19</v>
      </c>
      <c r="D120" s="149" t="s">
        <v>184</v>
      </c>
      <c r="H120" t="s">
        <v>252</v>
      </c>
      <c r="K120"/>
      <c r="L120"/>
      <c r="M120"/>
    </row>
    <row r="121" spans="2:13" ht="28.8" customHeight="1" x14ac:dyDescent="0.3">
      <c r="B121" s="150">
        <v>46090</v>
      </c>
      <c r="C121">
        <v>-29.7</v>
      </c>
      <c r="D121" s="149" t="s">
        <v>184</v>
      </c>
      <c r="H121" t="s">
        <v>253</v>
      </c>
      <c r="K121"/>
      <c r="L121"/>
      <c r="M121"/>
    </row>
    <row r="122" spans="2:13" ht="28.8" customHeight="1" x14ac:dyDescent="0.3">
      <c r="B122" s="150">
        <v>46090</v>
      </c>
      <c r="C122">
        <v>-79.900000000000006</v>
      </c>
      <c r="D122" s="149" t="s">
        <v>184</v>
      </c>
      <c r="H122" t="s">
        <v>254</v>
      </c>
      <c r="K122"/>
      <c r="L122"/>
      <c r="M122"/>
    </row>
    <row r="123" spans="2:13" ht="28.8" customHeight="1" x14ac:dyDescent="0.3">
      <c r="B123" s="150">
        <v>46085</v>
      </c>
      <c r="C123">
        <v>-39.5</v>
      </c>
      <c r="D123" s="149" t="s">
        <v>255</v>
      </c>
      <c r="H123" t="s">
        <v>249</v>
      </c>
      <c r="K123"/>
      <c r="L123"/>
      <c r="M123"/>
    </row>
    <row r="124" spans="2:13" ht="28.8" customHeight="1" x14ac:dyDescent="0.3">
      <c r="B124" s="150">
        <v>46085</v>
      </c>
      <c r="C124">
        <v>153.58000000000001</v>
      </c>
      <c r="D124" s="149" t="s">
        <v>243</v>
      </c>
      <c r="H124" t="s">
        <v>256</v>
      </c>
      <c r="K124"/>
      <c r="L124"/>
      <c r="M124"/>
    </row>
    <row r="125" spans="2:13" ht="28.8" customHeight="1" x14ac:dyDescent="0.3">
      <c r="B125" s="150">
        <v>46084</v>
      </c>
      <c r="C125">
        <v>37.19</v>
      </c>
      <c r="D125" s="149" t="s">
        <v>173</v>
      </c>
      <c r="H125" t="s">
        <v>174</v>
      </c>
      <c r="K125"/>
      <c r="L125"/>
      <c r="M125"/>
    </row>
    <row r="126" spans="2:13" ht="28.8" customHeight="1" x14ac:dyDescent="0.3">
      <c r="B126" s="150">
        <v>46084</v>
      </c>
      <c r="C126">
        <v>-7.18</v>
      </c>
      <c r="D126" s="149" t="s">
        <v>257</v>
      </c>
      <c r="H126" t="s">
        <v>258</v>
      </c>
      <c r="K126"/>
      <c r="L126"/>
      <c r="M126"/>
    </row>
    <row r="127" spans="2:13" ht="28.8" customHeight="1" x14ac:dyDescent="0.3">
      <c r="B127" s="150">
        <v>46084</v>
      </c>
      <c r="C127">
        <v>-26.99</v>
      </c>
      <c r="D127" s="149" t="s">
        <v>175</v>
      </c>
      <c r="E127" s="136" t="s">
        <v>9</v>
      </c>
      <c r="H127" t="s">
        <v>176</v>
      </c>
      <c r="K127"/>
      <c r="L127"/>
      <c r="M127"/>
    </row>
    <row r="128" spans="2:13" ht="28.8" customHeight="1" x14ac:dyDescent="0.3">
      <c r="B128" s="150">
        <v>46084</v>
      </c>
      <c r="C128">
        <v>-20</v>
      </c>
      <c r="D128" s="149" t="s">
        <v>259</v>
      </c>
      <c r="H128" t="s">
        <v>258</v>
      </c>
      <c r="K128"/>
      <c r="L128"/>
      <c r="M128"/>
    </row>
    <row r="129" spans="2:13" ht="28.8" customHeight="1" x14ac:dyDescent="0.3">
      <c r="B129" s="150">
        <v>46084</v>
      </c>
      <c r="C129">
        <v>-27.07</v>
      </c>
      <c r="D129" s="149" t="s">
        <v>260</v>
      </c>
      <c r="H129" t="s">
        <v>261</v>
      </c>
      <c r="K129"/>
      <c r="L129"/>
      <c r="M129"/>
    </row>
    <row r="130" spans="2:13" ht="28.8" customHeight="1" x14ac:dyDescent="0.3">
      <c r="B130" s="150">
        <v>46084</v>
      </c>
      <c r="C130">
        <v>-29.99</v>
      </c>
      <c r="D130" s="149" t="s">
        <v>262</v>
      </c>
      <c r="H130" t="s">
        <v>178</v>
      </c>
      <c r="K130"/>
      <c r="L130"/>
      <c r="M130"/>
    </row>
    <row r="131" spans="2:13" ht="28.8" customHeight="1" x14ac:dyDescent="0.3">
      <c r="B131" s="150">
        <v>46084</v>
      </c>
      <c r="C131">
        <v>-19.05</v>
      </c>
      <c r="D131" s="149" t="s">
        <v>169</v>
      </c>
      <c r="E131" s="136" t="s">
        <v>9</v>
      </c>
      <c r="F131" s="136" t="s">
        <v>10</v>
      </c>
      <c r="G131" s="136" t="s">
        <v>164</v>
      </c>
      <c r="H131" t="s">
        <v>170</v>
      </c>
      <c r="K131"/>
      <c r="L131"/>
      <c r="M131"/>
    </row>
    <row r="132" spans="2:13" ht="28.8" customHeight="1" x14ac:dyDescent="0.3">
      <c r="B132" s="150">
        <v>46084</v>
      </c>
      <c r="C132">
        <v>-10</v>
      </c>
      <c r="D132" s="149" t="s">
        <v>263</v>
      </c>
      <c r="H132" t="s">
        <v>258</v>
      </c>
      <c r="K132"/>
      <c r="L132"/>
      <c r="M132"/>
    </row>
    <row r="133" spans="2:13" ht="28.8" customHeight="1" x14ac:dyDescent="0.3">
      <c r="B133" s="150">
        <v>46084</v>
      </c>
      <c r="C133">
        <v>-63</v>
      </c>
      <c r="D133" s="149" t="s">
        <v>215</v>
      </c>
      <c r="H133" t="s">
        <v>264</v>
      </c>
      <c r="K133"/>
      <c r="L133"/>
      <c r="M133"/>
    </row>
    <row r="134" spans="2:13" ht="28.8" customHeight="1" x14ac:dyDescent="0.3">
      <c r="B134" s="150">
        <v>46083</v>
      </c>
      <c r="C134">
        <v>-24.99</v>
      </c>
      <c r="D134" s="149" t="s">
        <v>265</v>
      </c>
      <c r="H134" t="s">
        <v>249</v>
      </c>
      <c r="K134"/>
      <c r="L134"/>
      <c r="M134"/>
    </row>
    <row r="135" spans="2:13" ht="28.8" customHeight="1" x14ac:dyDescent="0.3">
      <c r="B135" s="150">
        <v>46083</v>
      </c>
      <c r="C135">
        <v>-13.99</v>
      </c>
      <c r="D135" s="149" t="s">
        <v>195</v>
      </c>
      <c r="H135" t="s">
        <v>196</v>
      </c>
      <c r="K135"/>
      <c r="L135"/>
      <c r="M135"/>
    </row>
    <row r="136" spans="2:13" ht="28.8" customHeight="1" x14ac:dyDescent="0.3">
      <c r="B136" s="150">
        <v>46083</v>
      </c>
      <c r="C136">
        <v>-8</v>
      </c>
      <c r="D136" s="149" t="s">
        <v>184</v>
      </c>
      <c r="H136" t="s">
        <v>266</v>
      </c>
      <c r="K136"/>
      <c r="L136"/>
      <c r="M136"/>
    </row>
    <row r="137" spans="2:13" ht="28.8" customHeight="1" x14ac:dyDescent="0.3">
      <c r="B137" s="150">
        <v>46083</v>
      </c>
      <c r="C137">
        <v>-89.93</v>
      </c>
      <c r="D137" s="149" t="s">
        <v>171</v>
      </c>
      <c r="E137" s="136" t="s">
        <v>9</v>
      </c>
      <c r="F137" s="136" t="s">
        <v>10</v>
      </c>
      <c r="G137" s="136" t="s">
        <v>162</v>
      </c>
      <c r="H137" t="s">
        <v>267</v>
      </c>
      <c r="K137"/>
      <c r="L137"/>
      <c r="M137"/>
    </row>
    <row r="138" spans="2:13" ht="28.8" customHeight="1" x14ac:dyDescent="0.3">
      <c r="B138" s="150">
        <v>46081</v>
      </c>
      <c r="C138">
        <v>-190</v>
      </c>
      <c r="D138" s="149" t="s">
        <v>268</v>
      </c>
      <c r="H138" t="s">
        <v>269</v>
      </c>
      <c r="K138"/>
      <c r="L138"/>
      <c r="M138"/>
    </row>
    <row r="139" spans="2:13" ht="28.8" customHeight="1" x14ac:dyDescent="0.3">
      <c r="B139" s="150">
        <v>46081</v>
      </c>
      <c r="C139">
        <v>-650</v>
      </c>
      <c r="D139" s="149" t="s">
        <v>268</v>
      </c>
      <c r="H139" t="s">
        <v>269</v>
      </c>
      <c r="K139"/>
      <c r="L139"/>
      <c r="M139"/>
    </row>
    <row r="140" spans="2:13" ht="28.8" customHeight="1" x14ac:dyDescent="0.3">
      <c r="B140" s="150">
        <v>46081</v>
      </c>
      <c r="C140">
        <v>-3.99</v>
      </c>
      <c r="D140" s="149" t="s">
        <v>270</v>
      </c>
      <c r="H140">
        <v>78392766450127</v>
      </c>
      <c r="K140"/>
      <c r="L140"/>
      <c r="M140"/>
    </row>
    <row r="141" spans="2:13" ht="28.8" customHeight="1" x14ac:dyDescent="0.3">
      <c r="B141" s="150">
        <v>46079</v>
      </c>
      <c r="C141">
        <v>9.99</v>
      </c>
      <c r="D141" s="149" t="s">
        <v>271</v>
      </c>
      <c r="H141" t="s">
        <v>272</v>
      </c>
      <c r="K141"/>
      <c r="L141"/>
      <c r="M141"/>
    </row>
    <row r="142" spans="2:13" ht="28.8" customHeight="1" x14ac:dyDescent="0.3">
      <c r="B142" s="150">
        <v>46079</v>
      </c>
      <c r="C142">
        <v>10.44</v>
      </c>
      <c r="D142" s="149" t="s">
        <v>273</v>
      </c>
      <c r="H142" t="s">
        <v>274</v>
      </c>
      <c r="K142"/>
      <c r="L142"/>
      <c r="M142"/>
    </row>
    <row r="143" spans="2:13" ht="28.8" customHeight="1" x14ac:dyDescent="0.3">
      <c r="B143" s="150">
        <v>46078</v>
      </c>
      <c r="C143">
        <v>-8.5299999999999994</v>
      </c>
      <c r="D143" s="149" t="s">
        <v>275</v>
      </c>
      <c r="H143" t="s">
        <v>178</v>
      </c>
      <c r="K143"/>
      <c r="L143"/>
      <c r="M143"/>
    </row>
    <row r="144" spans="2:13" ht="28.8" customHeight="1" x14ac:dyDescent="0.3">
      <c r="B144" s="150">
        <v>46078</v>
      </c>
      <c r="C144">
        <v>-27.19</v>
      </c>
      <c r="D144" s="149" t="s">
        <v>276</v>
      </c>
      <c r="H144" t="s">
        <v>178</v>
      </c>
      <c r="K144"/>
      <c r="L144"/>
      <c r="M144"/>
    </row>
    <row r="145" spans="2:13" ht="28.8" customHeight="1" x14ac:dyDescent="0.3">
      <c r="B145" s="150">
        <v>46077</v>
      </c>
      <c r="C145">
        <v>-9.99</v>
      </c>
      <c r="D145" s="149" t="s">
        <v>271</v>
      </c>
      <c r="H145" t="s">
        <v>178</v>
      </c>
      <c r="K145"/>
      <c r="L145"/>
      <c r="M145"/>
    </row>
    <row r="146" spans="2:13" ht="28.8" customHeight="1" x14ac:dyDescent="0.3">
      <c r="B146" s="150">
        <v>46077</v>
      </c>
      <c r="C146">
        <v>-10.44</v>
      </c>
      <c r="D146" s="149" t="s">
        <v>273</v>
      </c>
      <c r="H146" t="s">
        <v>178</v>
      </c>
      <c r="K146"/>
      <c r="L146"/>
      <c r="M146"/>
    </row>
    <row r="147" spans="2:13" ht="28.8" customHeight="1" x14ac:dyDescent="0.3">
      <c r="B147" s="150">
        <v>46077</v>
      </c>
      <c r="C147">
        <v>-60.49</v>
      </c>
      <c r="D147" s="149" t="s">
        <v>184</v>
      </c>
      <c r="H147" t="s">
        <v>277</v>
      </c>
      <c r="K147"/>
      <c r="L147"/>
      <c r="M147"/>
    </row>
    <row r="148" spans="2:13" ht="28.8" customHeight="1" x14ac:dyDescent="0.3">
      <c r="B148" s="150">
        <v>46076</v>
      </c>
      <c r="C148">
        <v>-50</v>
      </c>
      <c r="D148" s="149" t="s">
        <v>278</v>
      </c>
      <c r="H148" t="s">
        <v>279</v>
      </c>
      <c r="K148"/>
      <c r="L148"/>
      <c r="M148"/>
    </row>
    <row r="149" spans="2:13" ht="28.8" customHeight="1" x14ac:dyDescent="0.3">
      <c r="B149" s="150">
        <v>46076</v>
      </c>
      <c r="C149">
        <v>1116.28</v>
      </c>
      <c r="D149" s="149" t="s">
        <v>193</v>
      </c>
      <c r="H149" t="s">
        <v>280</v>
      </c>
      <c r="K149"/>
      <c r="L149"/>
      <c r="M149"/>
    </row>
    <row r="150" spans="2:13" ht="28.8" customHeight="1" x14ac:dyDescent="0.3">
      <c r="B150" s="150">
        <v>46073</v>
      </c>
      <c r="C150">
        <v>63</v>
      </c>
      <c r="D150" s="149" t="s">
        <v>193</v>
      </c>
      <c r="H150" t="s">
        <v>281</v>
      </c>
      <c r="K150"/>
      <c r="L150"/>
      <c r="M150"/>
    </row>
    <row r="151" spans="2:13" ht="28.8" customHeight="1" x14ac:dyDescent="0.3">
      <c r="B151" s="150">
        <v>46071</v>
      </c>
      <c r="C151">
        <v>-7.69</v>
      </c>
      <c r="D151" s="149" t="s">
        <v>184</v>
      </c>
      <c r="H151" t="s">
        <v>282</v>
      </c>
      <c r="K151"/>
      <c r="L151"/>
      <c r="M151"/>
    </row>
    <row r="152" spans="2:13" ht="28.8" customHeight="1" x14ac:dyDescent="0.3">
      <c r="B152" s="150">
        <v>46070</v>
      </c>
      <c r="C152">
        <v>30</v>
      </c>
      <c r="D152" s="149" t="s">
        <v>243</v>
      </c>
      <c r="H152" t="s">
        <v>283</v>
      </c>
      <c r="K152"/>
      <c r="L152"/>
      <c r="M152"/>
    </row>
    <row r="153" spans="2:13" ht="28.8" customHeight="1" x14ac:dyDescent="0.3">
      <c r="B153" s="150">
        <v>46065</v>
      </c>
      <c r="C153">
        <v>-36.97</v>
      </c>
      <c r="D153" s="149" t="s">
        <v>184</v>
      </c>
      <c r="H153" t="s">
        <v>284</v>
      </c>
      <c r="K153"/>
      <c r="L153"/>
      <c r="M153"/>
    </row>
    <row r="154" spans="2:13" ht="28.8" customHeight="1" x14ac:dyDescent="0.3">
      <c r="B154" s="150">
        <v>46064</v>
      </c>
      <c r="C154">
        <v>-13.99</v>
      </c>
      <c r="D154" s="149" t="s">
        <v>195</v>
      </c>
      <c r="H154" t="s">
        <v>196</v>
      </c>
      <c r="K154"/>
      <c r="L154"/>
      <c r="M154"/>
    </row>
    <row r="155" spans="2:13" ht="28.8" customHeight="1" x14ac:dyDescent="0.3">
      <c r="B155" s="150">
        <v>46063</v>
      </c>
      <c r="C155">
        <v>30.59</v>
      </c>
      <c r="D155" s="149" t="s">
        <v>285</v>
      </c>
      <c r="H155" t="s">
        <v>286</v>
      </c>
      <c r="K155"/>
      <c r="L155"/>
      <c r="M155"/>
    </row>
    <row r="156" spans="2:13" ht="28.8" customHeight="1" x14ac:dyDescent="0.3">
      <c r="B156" s="150">
        <v>46063</v>
      </c>
      <c r="C156">
        <v>-12.87</v>
      </c>
      <c r="D156" s="149" t="s">
        <v>217</v>
      </c>
      <c r="H156" t="s">
        <v>170</v>
      </c>
      <c r="K156"/>
      <c r="L156"/>
      <c r="M156"/>
    </row>
    <row r="157" spans="2:13" ht="28.8" customHeight="1" x14ac:dyDescent="0.3">
      <c r="B157" s="150">
        <v>46063</v>
      </c>
      <c r="C157">
        <v>-69.36</v>
      </c>
      <c r="D157" s="149" t="s">
        <v>188</v>
      </c>
      <c r="H157" t="s">
        <v>170</v>
      </c>
      <c r="K157"/>
      <c r="L157"/>
      <c r="M157"/>
    </row>
    <row r="158" spans="2:13" ht="28.8" customHeight="1" x14ac:dyDescent="0.3">
      <c r="B158" s="150">
        <v>46063</v>
      </c>
      <c r="C158">
        <v>-27.25</v>
      </c>
      <c r="D158" s="149" t="s">
        <v>169</v>
      </c>
      <c r="E158" s="136" t="s">
        <v>9</v>
      </c>
      <c r="F158" s="136" t="s">
        <v>10</v>
      </c>
      <c r="G158" s="136" t="s">
        <v>164</v>
      </c>
      <c r="H158" t="s">
        <v>170</v>
      </c>
      <c r="K158"/>
      <c r="L158"/>
      <c r="M158"/>
    </row>
    <row r="159" spans="2:13" ht="28.8" customHeight="1" x14ac:dyDescent="0.3">
      <c r="B159" s="150">
        <v>46063</v>
      </c>
      <c r="C159">
        <v>167.67</v>
      </c>
      <c r="D159" s="149" t="s">
        <v>190</v>
      </c>
      <c r="H159" t="s">
        <v>287</v>
      </c>
      <c r="K159"/>
      <c r="L159"/>
      <c r="M159"/>
    </row>
    <row r="160" spans="2:13" ht="28.8" customHeight="1" x14ac:dyDescent="0.3">
      <c r="B160" s="150">
        <v>46063</v>
      </c>
      <c r="C160">
        <v>-56.19</v>
      </c>
      <c r="D160" s="149" t="s">
        <v>184</v>
      </c>
      <c r="H160" t="s">
        <v>288</v>
      </c>
      <c r="K160"/>
      <c r="L160"/>
      <c r="M160"/>
    </row>
    <row r="161" spans="2:13" ht="28.8" customHeight="1" x14ac:dyDescent="0.3">
      <c r="B161" s="150">
        <v>46062</v>
      </c>
      <c r="C161">
        <v>27.99</v>
      </c>
      <c r="D161" s="149" t="s">
        <v>285</v>
      </c>
      <c r="H161" t="s">
        <v>289</v>
      </c>
      <c r="K161"/>
      <c r="L161"/>
      <c r="M161"/>
    </row>
    <row r="162" spans="2:13" ht="28.8" customHeight="1" x14ac:dyDescent="0.3">
      <c r="B162" s="150">
        <v>46062</v>
      </c>
      <c r="C162">
        <v>-30.59</v>
      </c>
      <c r="D162" s="149" t="s">
        <v>290</v>
      </c>
      <c r="H162" t="s">
        <v>249</v>
      </c>
      <c r="K162"/>
      <c r="L162"/>
      <c r="M162"/>
    </row>
    <row r="163" spans="2:13" ht="28.8" customHeight="1" x14ac:dyDescent="0.3">
      <c r="B163" s="150">
        <v>46062</v>
      </c>
      <c r="C163">
        <v>20.43</v>
      </c>
      <c r="D163" s="149" t="s">
        <v>291</v>
      </c>
      <c r="H163"/>
      <c r="K163"/>
      <c r="L163"/>
      <c r="M163"/>
    </row>
    <row r="164" spans="2:13" ht="28.8" customHeight="1" x14ac:dyDescent="0.3">
      <c r="B164" s="150">
        <v>46062</v>
      </c>
      <c r="C164">
        <v>-77.94</v>
      </c>
      <c r="D164" s="149" t="s">
        <v>171</v>
      </c>
      <c r="E164" s="136" t="s">
        <v>9</v>
      </c>
      <c r="F164" s="136" t="s">
        <v>10</v>
      </c>
      <c r="G164" s="136" t="s">
        <v>162</v>
      </c>
      <c r="H164" t="s">
        <v>292</v>
      </c>
      <c r="K164"/>
      <c r="L164"/>
      <c r="M164"/>
    </row>
    <row r="165" spans="2:13" ht="28.8" customHeight="1" x14ac:dyDescent="0.3">
      <c r="B165" s="150">
        <v>46059</v>
      </c>
      <c r="C165">
        <v>-70.260000000000005</v>
      </c>
      <c r="D165" s="149" t="s">
        <v>293</v>
      </c>
      <c r="H165" t="s">
        <v>249</v>
      </c>
      <c r="K165"/>
      <c r="L165"/>
      <c r="M165"/>
    </row>
    <row r="166" spans="2:13" ht="28.8" customHeight="1" x14ac:dyDescent="0.3">
      <c r="B166" s="150">
        <v>46059</v>
      </c>
      <c r="C166">
        <v>268.8</v>
      </c>
      <c r="D166" s="149" t="s">
        <v>193</v>
      </c>
      <c r="H166" t="s">
        <v>294</v>
      </c>
      <c r="K166"/>
      <c r="L166"/>
      <c r="M166"/>
    </row>
    <row r="167" spans="2:13" ht="28.8" customHeight="1" x14ac:dyDescent="0.3">
      <c r="B167" s="150">
        <v>46058</v>
      </c>
      <c r="C167">
        <v>42.27</v>
      </c>
      <c r="D167" s="149" t="s">
        <v>285</v>
      </c>
      <c r="H167" t="s">
        <v>295</v>
      </c>
      <c r="K167"/>
      <c r="L167"/>
      <c r="M167"/>
    </row>
    <row r="168" spans="2:13" ht="28.8" customHeight="1" x14ac:dyDescent="0.3">
      <c r="B168" s="150">
        <v>46057</v>
      </c>
      <c r="C168">
        <v>-100</v>
      </c>
      <c r="D168" s="149" t="s">
        <v>184</v>
      </c>
      <c r="H168" t="s">
        <v>296</v>
      </c>
      <c r="K168"/>
      <c r="L168"/>
      <c r="M168"/>
    </row>
    <row r="169" spans="2:13" ht="28.8" customHeight="1" x14ac:dyDescent="0.3">
      <c r="B169" s="150">
        <v>46056</v>
      </c>
      <c r="C169">
        <v>-63</v>
      </c>
      <c r="D169" s="149" t="s">
        <v>215</v>
      </c>
      <c r="H169" t="s">
        <v>297</v>
      </c>
      <c r="K169"/>
      <c r="L169"/>
      <c r="M169"/>
    </row>
    <row r="170" spans="2:13" ht="28.8" customHeight="1" x14ac:dyDescent="0.3">
      <c r="B170" s="150">
        <v>46056</v>
      </c>
      <c r="C170">
        <v>-18.8</v>
      </c>
      <c r="D170" s="149" t="s">
        <v>298</v>
      </c>
      <c r="H170" t="s">
        <v>299</v>
      </c>
      <c r="K170"/>
      <c r="L170"/>
      <c r="M170"/>
    </row>
    <row r="171" spans="2:13" ht="28.8" customHeight="1" x14ac:dyDescent="0.3">
      <c r="B171" s="150">
        <v>46056</v>
      </c>
      <c r="C171">
        <v>-69.069999999999993</v>
      </c>
      <c r="D171" s="149" t="s">
        <v>184</v>
      </c>
      <c r="H171" t="s">
        <v>300</v>
      </c>
      <c r="K171"/>
      <c r="L171"/>
      <c r="M171"/>
    </row>
    <row r="172" spans="2:13" ht="28.8" customHeight="1" x14ac:dyDescent="0.3">
      <c r="B172" s="150">
        <v>46055</v>
      </c>
      <c r="C172">
        <v>206.66</v>
      </c>
      <c r="D172" s="149" t="s">
        <v>173</v>
      </c>
      <c r="H172" t="s">
        <v>174</v>
      </c>
      <c r="K172"/>
      <c r="L172"/>
      <c r="M172"/>
    </row>
    <row r="173" spans="2:13" ht="28.8" customHeight="1" x14ac:dyDescent="0.3">
      <c r="B173" s="150">
        <v>46055</v>
      </c>
      <c r="C173">
        <v>-215.49</v>
      </c>
      <c r="D173" s="149" t="s">
        <v>184</v>
      </c>
      <c r="H173" t="s">
        <v>301</v>
      </c>
      <c r="K173"/>
      <c r="L173"/>
      <c r="M173"/>
    </row>
    <row r="174" spans="2:13" ht="28.8" customHeight="1" x14ac:dyDescent="0.3">
      <c r="B174" s="150">
        <v>46055</v>
      </c>
      <c r="C174">
        <v>-200</v>
      </c>
      <c r="D174" s="149" t="s">
        <v>197</v>
      </c>
      <c r="H174"/>
      <c r="K174"/>
      <c r="L174"/>
      <c r="M174"/>
    </row>
    <row r="175" spans="2:13" ht="28.8" customHeight="1" x14ac:dyDescent="0.3">
      <c r="B175" s="150">
        <v>46053</v>
      </c>
      <c r="C175">
        <v>6.12</v>
      </c>
      <c r="D175" s="149" t="s">
        <v>173</v>
      </c>
      <c r="H175" t="s">
        <v>174</v>
      </c>
      <c r="K175"/>
      <c r="L175"/>
      <c r="M175"/>
    </row>
    <row r="176" spans="2:13" ht="28.8" customHeight="1" x14ac:dyDescent="0.3">
      <c r="B176" s="150">
        <v>46052</v>
      </c>
      <c r="C176">
        <v>-6.58</v>
      </c>
      <c r="D176" s="149" t="s">
        <v>302</v>
      </c>
      <c r="E176" s="136" t="s">
        <v>9</v>
      </c>
      <c r="F176" s="136" t="s">
        <v>10</v>
      </c>
      <c r="G176" s="136" t="s">
        <v>164</v>
      </c>
      <c r="H176" t="s">
        <v>303</v>
      </c>
      <c r="K176"/>
      <c r="L176"/>
      <c r="M176"/>
    </row>
    <row r="177" spans="2:13" ht="28.8" customHeight="1" x14ac:dyDescent="0.3">
      <c r="B177" s="150">
        <v>46052</v>
      </c>
      <c r="C177">
        <v>-26.99</v>
      </c>
      <c r="D177" s="149" t="s">
        <v>175</v>
      </c>
      <c r="E177" s="136" t="s">
        <v>9</v>
      </c>
      <c r="H177" t="s">
        <v>176</v>
      </c>
      <c r="K177"/>
      <c r="L177"/>
      <c r="M177"/>
    </row>
    <row r="178" spans="2:13" ht="28.8" customHeight="1" x14ac:dyDescent="0.3">
      <c r="B178" s="150">
        <v>46051</v>
      </c>
      <c r="C178">
        <v>-2.98</v>
      </c>
      <c r="D178" s="149" t="s">
        <v>302</v>
      </c>
      <c r="E178" s="136" t="s">
        <v>9</v>
      </c>
      <c r="F178" s="136" t="s">
        <v>10</v>
      </c>
      <c r="G178" s="136" t="s">
        <v>164</v>
      </c>
      <c r="H178" t="s">
        <v>303</v>
      </c>
      <c r="K178"/>
      <c r="L178"/>
      <c r="M178"/>
    </row>
    <row r="179" spans="2:13" ht="28.8" customHeight="1" x14ac:dyDescent="0.3">
      <c r="B179" s="150">
        <v>46049</v>
      </c>
      <c r="C179">
        <v>-50.38</v>
      </c>
      <c r="D179" s="149" t="s">
        <v>304</v>
      </c>
      <c r="H179" t="s">
        <v>249</v>
      </c>
      <c r="K179"/>
      <c r="L179"/>
      <c r="M179"/>
    </row>
    <row r="180" spans="2:13" ht="28.8" customHeight="1" x14ac:dyDescent="0.3">
      <c r="B180" s="150">
        <v>46049</v>
      </c>
      <c r="C180">
        <v>-9.0500000000000007</v>
      </c>
      <c r="D180" s="149" t="s">
        <v>169</v>
      </c>
      <c r="E180" s="136" t="s">
        <v>9</v>
      </c>
      <c r="F180" s="136" t="s">
        <v>10</v>
      </c>
      <c r="G180" s="136" t="s">
        <v>164</v>
      </c>
      <c r="H180" t="s">
        <v>170</v>
      </c>
      <c r="K180"/>
      <c r="L180"/>
      <c r="M180"/>
    </row>
    <row r="181" spans="2:13" ht="28.8" customHeight="1" x14ac:dyDescent="0.3">
      <c r="B181" s="150">
        <v>46049</v>
      </c>
      <c r="C181">
        <v>-11.79</v>
      </c>
      <c r="D181" s="149" t="s">
        <v>305</v>
      </c>
      <c r="H181" t="s">
        <v>166</v>
      </c>
      <c r="K181"/>
      <c r="L181"/>
      <c r="M181"/>
    </row>
    <row r="182" spans="2:13" ht="28.8" customHeight="1" x14ac:dyDescent="0.3">
      <c r="B182" s="150">
        <v>46049</v>
      </c>
      <c r="C182">
        <v>-18</v>
      </c>
      <c r="D182" s="149" t="s">
        <v>184</v>
      </c>
      <c r="H182" t="s">
        <v>306</v>
      </c>
      <c r="K182"/>
      <c r="L182"/>
      <c r="M182"/>
    </row>
    <row r="183" spans="2:13" ht="28.8" customHeight="1" x14ac:dyDescent="0.3">
      <c r="B183" s="150">
        <v>46048</v>
      </c>
      <c r="C183">
        <v>-600</v>
      </c>
      <c r="D183" s="149" t="s">
        <v>197</v>
      </c>
      <c r="H183"/>
      <c r="K183"/>
      <c r="L183"/>
      <c r="M183"/>
    </row>
    <row r="184" spans="2:13" ht="28.8" customHeight="1" x14ac:dyDescent="0.3">
      <c r="B184" s="150">
        <v>46048</v>
      </c>
      <c r="C184">
        <v>1116.28</v>
      </c>
      <c r="D184" s="149" t="s">
        <v>193</v>
      </c>
      <c r="H184" t="s">
        <v>307</v>
      </c>
      <c r="K184"/>
      <c r="L184"/>
      <c r="M184"/>
    </row>
    <row r="185" spans="2:13" ht="28.8" customHeight="1" x14ac:dyDescent="0.3">
      <c r="B185" s="150">
        <v>46048</v>
      </c>
      <c r="C185">
        <v>-50</v>
      </c>
      <c r="D185" s="149" t="s">
        <v>184</v>
      </c>
      <c r="H185" t="s">
        <v>308</v>
      </c>
      <c r="K185"/>
      <c r="L185"/>
      <c r="M185"/>
    </row>
    <row r="186" spans="2:13" ht="28.8" customHeight="1" x14ac:dyDescent="0.3">
      <c r="B186" s="150">
        <v>46045</v>
      </c>
      <c r="C186">
        <v>45.85</v>
      </c>
      <c r="D186" s="149" t="s">
        <v>243</v>
      </c>
      <c r="H186" t="s">
        <v>309</v>
      </c>
      <c r="K186"/>
      <c r="L186"/>
      <c r="M186"/>
    </row>
    <row r="187" spans="2:13" ht="28.8" customHeight="1" x14ac:dyDescent="0.3">
      <c r="B187" s="150">
        <v>46044</v>
      </c>
      <c r="C187">
        <v>63</v>
      </c>
      <c r="D187" s="149" t="s">
        <v>193</v>
      </c>
      <c r="H187" t="s">
        <v>310</v>
      </c>
      <c r="K187"/>
      <c r="L187"/>
      <c r="M187"/>
    </row>
    <row r="188" spans="2:13" ht="28.8" customHeight="1" x14ac:dyDescent="0.3">
      <c r="B188" s="150">
        <v>46044</v>
      </c>
      <c r="C188">
        <v>-4.1900000000000004</v>
      </c>
      <c r="D188" s="149" t="s">
        <v>184</v>
      </c>
      <c r="H188" t="s">
        <v>311</v>
      </c>
      <c r="K188"/>
      <c r="L188"/>
      <c r="M188"/>
    </row>
    <row r="189" spans="2:13" ht="28.8" customHeight="1" x14ac:dyDescent="0.3">
      <c r="B189" s="150">
        <v>46043</v>
      </c>
      <c r="C189">
        <v>-7.69</v>
      </c>
      <c r="D189" s="149" t="s">
        <v>312</v>
      </c>
      <c r="H189" t="s">
        <v>313</v>
      </c>
      <c r="K189"/>
      <c r="L189"/>
      <c r="M189"/>
    </row>
    <row r="190" spans="2:13" ht="28.8" customHeight="1" x14ac:dyDescent="0.3">
      <c r="B190" s="150">
        <v>46042</v>
      </c>
      <c r="C190">
        <v>-5.56</v>
      </c>
      <c r="D190" s="149" t="s">
        <v>169</v>
      </c>
      <c r="E190" s="136" t="s">
        <v>9</v>
      </c>
      <c r="F190" s="136" t="s">
        <v>10</v>
      </c>
      <c r="G190" s="136" t="s">
        <v>164</v>
      </c>
      <c r="H190" t="s">
        <v>170</v>
      </c>
      <c r="K190"/>
      <c r="L190"/>
      <c r="M190"/>
    </row>
    <row r="191" spans="2:13" ht="28.8" customHeight="1" x14ac:dyDescent="0.3">
      <c r="B191" s="150">
        <v>46040</v>
      </c>
      <c r="C191">
        <v>34.17</v>
      </c>
      <c r="D191" s="149" t="s">
        <v>173</v>
      </c>
      <c r="H191" t="s">
        <v>174</v>
      </c>
      <c r="K191"/>
      <c r="L191"/>
      <c r="M191"/>
    </row>
    <row r="192" spans="2:13" ht="28.8" customHeight="1" x14ac:dyDescent="0.3">
      <c r="B192" s="150">
        <v>46034</v>
      </c>
      <c r="C192">
        <v>-1.98</v>
      </c>
      <c r="D192" s="149" t="s">
        <v>189</v>
      </c>
      <c r="H192" t="s">
        <v>314</v>
      </c>
      <c r="K192"/>
      <c r="L192"/>
      <c r="M192"/>
    </row>
    <row r="193" spans="2:13" ht="28.8" customHeight="1" x14ac:dyDescent="0.3">
      <c r="B193" s="150">
        <v>46034</v>
      </c>
      <c r="C193">
        <v>-4.1900000000000004</v>
      </c>
      <c r="D193" s="149" t="s">
        <v>184</v>
      </c>
      <c r="H193" t="s">
        <v>315</v>
      </c>
      <c r="K193"/>
      <c r="L193"/>
      <c r="M193"/>
    </row>
    <row r="194" spans="2:13" ht="28.8" customHeight="1" x14ac:dyDescent="0.3">
      <c r="B194" s="150">
        <v>46034</v>
      </c>
      <c r="C194">
        <v>-10.99</v>
      </c>
      <c r="D194" s="149" t="s">
        <v>184</v>
      </c>
      <c r="H194" t="s">
        <v>316</v>
      </c>
      <c r="K194"/>
      <c r="L194"/>
      <c r="M194"/>
    </row>
    <row r="195" spans="2:13" ht="28.8" customHeight="1" x14ac:dyDescent="0.3">
      <c r="B195" s="150">
        <v>46034</v>
      </c>
      <c r="C195">
        <v>-77.94</v>
      </c>
      <c r="D195" s="149" t="s">
        <v>171</v>
      </c>
      <c r="E195" s="136" t="s">
        <v>9</v>
      </c>
      <c r="F195" s="136" t="s">
        <v>10</v>
      </c>
      <c r="G195" s="136" t="s">
        <v>162</v>
      </c>
      <c r="H195" t="s">
        <v>317</v>
      </c>
      <c r="K195"/>
      <c r="L195"/>
      <c r="M195"/>
    </row>
    <row r="196" spans="2:13" ht="28.8" customHeight="1" x14ac:dyDescent="0.3">
      <c r="B196" s="150">
        <v>46031</v>
      </c>
      <c r="C196">
        <v>-15.29</v>
      </c>
      <c r="D196" s="149" t="s">
        <v>318</v>
      </c>
      <c r="H196" t="s">
        <v>319</v>
      </c>
      <c r="K196"/>
      <c r="L196"/>
      <c r="M196"/>
    </row>
    <row r="197" spans="2:13" ht="28.8" customHeight="1" x14ac:dyDescent="0.3">
      <c r="B197" s="150">
        <v>46029</v>
      </c>
      <c r="C197">
        <v>-6.98</v>
      </c>
      <c r="D197" s="149" t="s">
        <v>320</v>
      </c>
      <c r="H197" t="s">
        <v>314</v>
      </c>
      <c r="K197"/>
      <c r="L197"/>
      <c r="M197"/>
    </row>
    <row r="198" spans="2:13" ht="28.8" customHeight="1" x14ac:dyDescent="0.3">
      <c r="B198" s="150">
        <v>46028</v>
      </c>
      <c r="C198">
        <v>-27</v>
      </c>
      <c r="D198" s="149" t="s">
        <v>184</v>
      </c>
      <c r="H198" t="s">
        <v>321</v>
      </c>
      <c r="K198"/>
      <c r="L198"/>
      <c r="M198"/>
    </row>
    <row r="199" spans="2:13" ht="28.8" customHeight="1" x14ac:dyDescent="0.3">
      <c r="B199" s="150">
        <v>46028</v>
      </c>
      <c r="C199">
        <v>-29.7</v>
      </c>
      <c r="D199" s="149" t="s">
        <v>184</v>
      </c>
      <c r="H199" t="s">
        <v>322</v>
      </c>
      <c r="K199"/>
      <c r="L199"/>
      <c r="M199"/>
    </row>
    <row r="200" spans="2:13" ht="28.8" customHeight="1" x14ac:dyDescent="0.3">
      <c r="B200" s="150">
        <v>46027</v>
      </c>
      <c r="C200">
        <v>-63</v>
      </c>
      <c r="D200" s="149" t="s">
        <v>215</v>
      </c>
      <c r="H200" t="s">
        <v>323</v>
      </c>
      <c r="K200"/>
      <c r="L200"/>
      <c r="M200"/>
    </row>
    <row r="201" spans="2:13" ht="28.8" customHeight="1" x14ac:dyDescent="0.3">
      <c r="B201" s="150">
        <v>46024</v>
      </c>
      <c r="C201">
        <v>-9.7799999999999994</v>
      </c>
      <c r="D201" s="149" t="s">
        <v>324</v>
      </c>
      <c r="H201" t="s">
        <v>325</v>
      </c>
      <c r="K201"/>
      <c r="L201"/>
      <c r="M201"/>
    </row>
    <row r="202" spans="2:13" ht="28.8" customHeight="1" x14ac:dyDescent="0.3">
      <c r="B202" s="150">
        <v>46024</v>
      </c>
      <c r="C202">
        <v>-75.489999999999995</v>
      </c>
      <c r="D202" s="149" t="s">
        <v>326</v>
      </c>
      <c r="H202" t="s">
        <v>327</v>
      </c>
      <c r="K202"/>
      <c r="L202"/>
      <c r="M202"/>
    </row>
    <row r="203" spans="2:13" ht="28.8" customHeight="1" x14ac:dyDescent="0.3">
      <c r="B203" s="150">
        <v>46024</v>
      </c>
      <c r="C203">
        <v>-2.02</v>
      </c>
      <c r="D203" s="149" t="s">
        <v>189</v>
      </c>
      <c r="H203"/>
      <c r="K203"/>
      <c r="L203"/>
      <c r="M203"/>
    </row>
    <row r="204" spans="2:13" ht="28.8" customHeight="1" x14ac:dyDescent="0.3">
      <c r="B204" s="150">
        <v>46024</v>
      </c>
      <c r="C204">
        <v>-51.84</v>
      </c>
      <c r="D204" s="149" t="s">
        <v>328</v>
      </c>
      <c r="H204"/>
      <c r="K204"/>
      <c r="L204"/>
      <c r="M204"/>
    </row>
    <row r="205" spans="2:13" ht="28.8" customHeight="1" x14ac:dyDescent="0.3">
      <c r="B205" s="150">
        <v>46021</v>
      </c>
      <c r="C205">
        <v>-26.99</v>
      </c>
      <c r="D205" s="149" t="s">
        <v>329</v>
      </c>
      <c r="E205" s="136" t="s">
        <v>9</v>
      </c>
      <c r="H205" t="s">
        <v>176</v>
      </c>
      <c r="K205"/>
      <c r="L205"/>
      <c r="M205"/>
    </row>
    <row r="206" spans="2:13" ht="28.8" customHeight="1" x14ac:dyDescent="0.3">
      <c r="B206" s="150">
        <v>46020</v>
      </c>
      <c r="C206">
        <v>-200</v>
      </c>
      <c r="D206" s="149" t="s">
        <v>189</v>
      </c>
      <c r="H206" t="s">
        <v>314</v>
      </c>
      <c r="K206"/>
      <c r="L206"/>
      <c r="M206"/>
    </row>
    <row r="207" spans="2:13" ht="28.8" customHeight="1" x14ac:dyDescent="0.3">
      <c r="B207" s="150">
        <v>46020</v>
      </c>
      <c r="C207">
        <v>-297.38</v>
      </c>
      <c r="D207" s="149" t="s">
        <v>189</v>
      </c>
      <c r="H207" t="s">
        <v>314</v>
      </c>
      <c r="K207"/>
      <c r="L207"/>
      <c r="M207"/>
    </row>
    <row r="208" spans="2:13" ht="28.8" customHeight="1" x14ac:dyDescent="0.3">
      <c r="B208" s="150">
        <v>46020</v>
      </c>
      <c r="C208">
        <v>-58</v>
      </c>
      <c r="D208" s="149" t="s">
        <v>215</v>
      </c>
      <c r="H208" t="s">
        <v>330</v>
      </c>
      <c r="K208"/>
      <c r="L208"/>
      <c r="M208"/>
    </row>
    <row r="209" spans="2:13" ht="28.8" customHeight="1" x14ac:dyDescent="0.3">
      <c r="B209" s="150">
        <v>46015</v>
      </c>
      <c r="C209">
        <v>-86.19</v>
      </c>
      <c r="D209" s="149" t="s">
        <v>184</v>
      </c>
      <c r="H209" t="s">
        <v>331</v>
      </c>
      <c r="K209"/>
      <c r="L209"/>
      <c r="M209"/>
    </row>
    <row r="210" spans="2:13" ht="28.8" customHeight="1" x14ac:dyDescent="0.3">
      <c r="B210" s="150">
        <v>46015</v>
      </c>
      <c r="C210">
        <v>-50</v>
      </c>
      <c r="D210" s="149" t="s">
        <v>184</v>
      </c>
      <c r="H210" t="s">
        <v>332</v>
      </c>
      <c r="K210"/>
      <c r="L210"/>
      <c r="M210"/>
    </row>
    <row r="211" spans="2:13" ht="28.8" customHeight="1" x14ac:dyDescent="0.3">
      <c r="B211" s="150">
        <v>46015</v>
      </c>
      <c r="C211">
        <v>-60</v>
      </c>
      <c r="D211" s="149" t="s">
        <v>184</v>
      </c>
      <c r="E211"/>
      <c r="F211"/>
      <c r="H211" t="s">
        <v>333</v>
      </c>
      <c r="K211"/>
      <c r="L211"/>
      <c r="M211"/>
    </row>
    <row r="212" spans="2:13" ht="28.8" customHeight="1" x14ac:dyDescent="0.3">
      <c r="B212" s="150">
        <v>46014</v>
      </c>
      <c r="C212">
        <v>-1.5</v>
      </c>
      <c r="D212" s="149" t="s">
        <v>179</v>
      </c>
      <c r="H212" t="s">
        <v>166</v>
      </c>
      <c r="K212"/>
      <c r="L212"/>
      <c r="M212"/>
    </row>
    <row r="213" spans="2:13" ht="28.8" customHeight="1" x14ac:dyDescent="0.3">
      <c r="B213" s="150">
        <v>46013</v>
      </c>
      <c r="C213">
        <v>1127.6600000000001</v>
      </c>
      <c r="D213" s="149" t="s">
        <v>193</v>
      </c>
      <c r="H213" t="s">
        <v>334</v>
      </c>
      <c r="K213"/>
      <c r="L213"/>
      <c r="M213"/>
    </row>
    <row r="214" spans="2:13" ht="28.8" customHeight="1" x14ac:dyDescent="0.3">
      <c r="B214" s="150">
        <v>46013</v>
      </c>
      <c r="C214">
        <v>-13.99</v>
      </c>
      <c r="D214" s="149" t="s">
        <v>195</v>
      </c>
      <c r="H214" t="s">
        <v>335</v>
      </c>
      <c r="K214"/>
      <c r="L214"/>
      <c r="M214"/>
    </row>
    <row r="215" spans="2:13" ht="28.8" customHeight="1" x14ac:dyDescent="0.3">
      <c r="B215" s="150">
        <v>46009</v>
      </c>
      <c r="C215">
        <v>-11.23</v>
      </c>
      <c r="D215" s="149" t="s">
        <v>217</v>
      </c>
      <c r="H215" t="s">
        <v>170</v>
      </c>
      <c r="K215"/>
      <c r="L215"/>
      <c r="M215"/>
    </row>
    <row r="216" spans="2:13" ht="28.8" customHeight="1" x14ac:dyDescent="0.3">
      <c r="B216" s="150">
        <v>46009</v>
      </c>
      <c r="C216">
        <v>-129.63999999999999</v>
      </c>
      <c r="D216" s="149" t="s">
        <v>336</v>
      </c>
      <c r="H216" t="s">
        <v>178</v>
      </c>
      <c r="K216"/>
      <c r="L216"/>
      <c r="M216"/>
    </row>
    <row r="217" spans="2:13" ht="28.8" customHeight="1" x14ac:dyDescent="0.3">
      <c r="B217" s="150">
        <v>46007</v>
      </c>
      <c r="C217">
        <v>-50.99</v>
      </c>
      <c r="D217" s="149" t="s">
        <v>337</v>
      </c>
      <c r="H217" t="s">
        <v>338</v>
      </c>
      <c r="K217"/>
      <c r="L217"/>
      <c r="M217"/>
    </row>
    <row r="218" spans="2:13" ht="28.8" customHeight="1" x14ac:dyDescent="0.3">
      <c r="B218" s="150">
        <v>46007</v>
      </c>
      <c r="C218">
        <v>-28.79</v>
      </c>
      <c r="D218" s="149" t="s">
        <v>318</v>
      </c>
      <c r="H218" t="s">
        <v>183</v>
      </c>
      <c r="K218"/>
      <c r="L218"/>
      <c r="M218"/>
    </row>
    <row r="219" spans="2:13" ht="28.8" customHeight="1" x14ac:dyDescent="0.3">
      <c r="B219" s="150">
        <v>46007</v>
      </c>
      <c r="C219">
        <v>-17.5</v>
      </c>
      <c r="D219" s="149" t="s">
        <v>184</v>
      </c>
      <c r="H219" t="s">
        <v>339</v>
      </c>
      <c r="K219"/>
      <c r="L219"/>
      <c r="M219"/>
    </row>
    <row r="220" spans="2:13" ht="28.8" customHeight="1" x14ac:dyDescent="0.3">
      <c r="B220" s="150">
        <v>46006</v>
      </c>
      <c r="C220">
        <v>50</v>
      </c>
      <c r="D220" s="149" t="s">
        <v>173</v>
      </c>
      <c r="E220"/>
      <c r="F220"/>
      <c r="H220" t="s">
        <v>174</v>
      </c>
      <c r="K220"/>
      <c r="L220"/>
      <c r="M220"/>
    </row>
    <row r="221" spans="2:13" ht="28.8" customHeight="1" x14ac:dyDescent="0.3">
      <c r="B221" s="150">
        <v>46003</v>
      </c>
      <c r="C221">
        <v>-59.99</v>
      </c>
      <c r="D221" s="149" t="s">
        <v>340</v>
      </c>
      <c r="E221"/>
      <c r="F221"/>
      <c r="H221" t="s">
        <v>249</v>
      </c>
      <c r="K221"/>
      <c r="L221"/>
      <c r="M221"/>
    </row>
    <row r="222" spans="2:13" ht="28.8" customHeight="1" x14ac:dyDescent="0.3">
      <c r="B222" s="150">
        <v>46003</v>
      </c>
      <c r="C222">
        <v>110</v>
      </c>
      <c r="D222" s="149" t="s">
        <v>173</v>
      </c>
      <c r="H222" t="s">
        <v>174</v>
      </c>
      <c r="K222"/>
      <c r="L222"/>
      <c r="M222"/>
    </row>
    <row r="223" spans="2:13" ht="28.8" customHeight="1" x14ac:dyDescent="0.3">
      <c r="B223" s="150">
        <v>46002</v>
      </c>
      <c r="C223">
        <v>-44.9</v>
      </c>
      <c r="D223" s="149" t="s">
        <v>341</v>
      </c>
      <c r="E223"/>
      <c r="F223"/>
      <c r="H223" t="s">
        <v>178</v>
      </c>
      <c r="K223"/>
      <c r="L223"/>
      <c r="M223"/>
    </row>
    <row r="224" spans="2:13" ht="28.8" customHeight="1" x14ac:dyDescent="0.3">
      <c r="B224" s="150">
        <v>46002</v>
      </c>
      <c r="C224">
        <v>-68.7</v>
      </c>
      <c r="D224" s="149" t="s">
        <v>342</v>
      </c>
      <c r="H224" t="s">
        <v>170</v>
      </c>
      <c r="K224"/>
      <c r="L224"/>
      <c r="M224"/>
    </row>
    <row r="225" spans="2:13" ht="28.8" customHeight="1" x14ac:dyDescent="0.3">
      <c r="B225" s="150">
        <v>46000</v>
      </c>
      <c r="C225">
        <v>-63</v>
      </c>
      <c r="D225" s="149" t="s">
        <v>343</v>
      </c>
      <c r="E225"/>
      <c r="F225"/>
      <c r="G225"/>
      <c r="H225" t="s">
        <v>344</v>
      </c>
      <c r="K225"/>
      <c r="L225"/>
      <c r="M225"/>
    </row>
    <row r="226" spans="2:13" ht="28.8" customHeight="1" x14ac:dyDescent="0.3">
      <c r="B226" s="150">
        <v>46000</v>
      </c>
      <c r="C226">
        <v>-10.99</v>
      </c>
      <c r="D226" s="149" t="s">
        <v>345</v>
      </c>
      <c r="H226" t="s">
        <v>346</v>
      </c>
      <c r="K226"/>
      <c r="L226"/>
      <c r="M226"/>
    </row>
    <row r="227" spans="2:13" ht="28.8" customHeight="1" x14ac:dyDescent="0.3">
      <c r="B227" s="150">
        <v>46000</v>
      </c>
      <c r="C227">
        <v>-53.49</v>
      </c>
      <c r="D227" s="149" t="s">
        <v>337</v>
      </c>
      <c r="H227" t="s">
        <v>338</v>
      </c>
      <c r="K227"/>
      <c r="L227"/>
      <c r="M227"/>
    </row>
    <row r="228" spans="2:13" ht="28.8" customHeight="1" x14ac:dyDescent="0.3">
      <c r="B228" s="150">
        <v>46000</v>
      </c>
      <c r="C228">
        <v>-6</v>
      </c>
      <c r="D228" s="149" t="s">
        <v>343</v>
      </c>
      <c r="H228" t="s">
        <v>344</v>
      </c>
      <c r="K228"/>
      <c r="L228"/>
      <c r="M228"/>
    </row>
    <row r="229" spans="2:13" ht="28.8" customHeight="1" x14ac:dyDescent="0.3">
      <c r="B229" s="150">
        <v>45999</v>
      </c>
      <c r="C229">
        <v>52.5</v>
      </c>
      <c r="D229" s="149" t="s">
        <v>173</v>
      </c>
      <c r="H229" t="s">
        <v>174</v>
      </c>
      <c r="K229"/>
      <c r="L229"/>
      <c r="M229"/>
    </row>
    <row r="230" spans="2:13" ht="28.8" customHeight="1" x14ac:dyDescent="0.3">
      <c r="B230" s="150">
        <v>45999</v>
      </c>
      <c r="C230">
        <v>-91.16</v>
      </c>
      <c r="D230" s="149" t="s">
        <v>184</v>
      </c>
      <c r="H230" t="s">
        <v>347</v>
      </c>
      <c r="K230"/>
      <c r="L230"/>
      <c r="M230"/>
    </row>
    <row r="231" spans="2:13" ht="28.8" customHeight="1" x14ac:dyDescent="0.3">
      <c r="B231" s="150">
        <v>45996</v>
      </c>
      <c r="C231">
        <v>-49.49</v>
      </c>
      <c r="D231" s="149" t="s">
        <v>337</v>
      </c>
      <c r="H231" t="s">
        <v>338</v>
      </c>
      <c r="K231"/>
      <c r="L231"/>
      <c r="M231"/>
    </row>
    <row r="232" spans="2:13" ht="28.8" customHeight="1" x14ac:dyDescent="0.3">
      <c r="B232" s="150">
        <v>45995</v>
      </c>
      <c r="C232">
        <v>-34.979999999999997</v>
      </c>
      <c r="D232" s="149" t="s">
        <v>348</v>
      </c>
      <c r="H232" t="s">
        <v>261</v>
      </c>
      <c r="K232"/>
      <c r="L232"/>
      <c r="M232"/>
    </row>
    <row r="233" spans="2:13" ht="28.8" customHeight="1" x14ac:dyDescent="0.3">
      <c r="B233" s="150">
        <v>45995</v>
      </c>
      <c r="C233">
        <v>-69.989999999999995</v>
      </c>
      <c r="D233" s="149" t="s">
        <v>349</v>
      </c>
      <c r="H233" t="s">
        <v>261</v>
      </c>
      <c r="K233"/>
      <c r="L233"/>
      <c r="M233"/>
    </row>
    <row r="234" spans="2:13" ht="28.8" customHeight="1" x14ac:dyDescent="0.3">
      <c r="B234" s="150">
        <v>45995</v>
      </c>
      <c r="C234">
        <v>-8.68</v>
      </c>
      <c r="D234" s="149" t="s">
        <v>350</v>
      </c>
      <c r="E234"/>
      <c r="F234"/>
      <c r="H234"/>
      <c r="K234"/>
      <c r="L234"/>
      <c r="M234"/>
    </row>
    <row r="235" spans="2:13" ht="28.8" customHeight="1" x14ac:dyDescent="0.3">
      <c r="B235" s="150">
        <v>45994</v>
      </c>
      <c r="C235">
        <v>-69.989999999999995</v>
      </c>
      <c r="D235" s="149" t="s">
        <v>351</v>
      </c>
      <c r="E235"/>
      <c r="F235"/>
      <c r="G235"/>
      <c r="H235" t="s">
        <v>261</v>
      </c>
      <c r="K235"/>
      <c r="L235"/>
      <c r="M235"/>
    </row>
    <row r="236" spans="2:13" ht="28.8" customHeight="1" x14ac:dyDescent="0.3">
      <c r="B236" s="150">
        <v>45993</v>
      </c>
      <c r="C236">
        <v>-11.99</v>
      </c>
      <c r="D236" s="149" t="s">
        <v>352</v>
      </c>
      <c r="H236" t="s">
        <v>249</v>
      </c>
      <c r="K236"/>
      <c r="L236"/>
      <c r="M236"/>
    </row>
    <row r="237" spans="2:13" ht="28.8" customHeight="1" x14ac:dyDescent="0.3">
      <c r="B237" s="150">
        <v>45993</v>
      </c>
      <c r="C237">
        <v>-17.03</v>
      </c>
      <c r="D237" s="149" t="s">
        <v>329</v>
      </c>
      <c r="E237" s="136" t="s">
        <v>9</v>
      </c>
      <c r="H237" t="s">
        <v>176</v>
      </c>
      <c r="K237"/>
      <c r="L237"/>
      <c r="M237"/>
    </row>
    <row r="238" spans="2:13" ht="28.8" customHeight="1" x14ac:dyDescent="0.3">
      <c r="B238" s="150">
        <v>45993</v>
      </c>
      <c r="C238">
        <v>-105.84</v>
      </c>
      <c r="D238" s="149" t="s">
        <v>353</v>
      </c>
      <c r="H238" t="s">
        <v>313</v>
      </c>
      <c r="K238"/>
      <c r="L238"/>
      <c r="M238"/>
    </row>
    <row r="239" spans="2:13" ht="28.8" customHeight="1" x14ac:dyDescent="0.3">
      <c r="B239" s="150">
        <v>45993</v>
      </c>
      <c r="C239">
        <v>-0.01</v>
      </c>
      <c r="D239" s="149" t="s">
        <v>243</v>
      </c>
      <c r="H239" t="s">
        <v>354</v>
      </c>
      <c r="K239"/>
      <c r="L239"/>
      <c r="M239"/>
    </row>
    <row r="240" spans="2:13" ht="28.8" customHeight="1" x14ac:dyDescent="0.3">
      <c r="B240" s="150">
        <v>45992</v>
      </c>
      <c r="C240">
        <v>-50</v>
      </c>
      <c r="D240" s="149" t="s">
        <v>278</v>
      </c>
      <c r="H240" t="s">
        <v>355</v>
      </c>
      <c r="K240"/>
      <c r="L240"/>
      <c r="M240"/>
    </row>
    <row r="241" spans="2:13" ht="28.8" customHeight="1" x14ac:dyDescent="0.3">
      <c r="B241" s="150">
        <v>45992</v>
      </c>
      <c r="C241">
        <v>-38.9</v>
      </c>
      <c r="D241" s="149" t="s">
        <v>356</v>
      </c>
      <c r="E241"/>
      <c r="F241"/>
      <c r="H241"/>
      <c r="K241"/>
      <c r="L241"/>
      <c r="M241"/>
    </row>
    <row r="242" spans="2:13" ht="28.8" customHeight="1" x14ac:dyDescent="0.3">
      <c r="B242" s="150">
        <v>45992</v>
      </c>
      <c r="C242">
        <v>121.67</v>
      </c>
      <c r="D242" s="149" t="s">
        <v>243</v>
      </c>
      <c r="H242" t="s">
        <v>357</v>
      </c>
      <c r="K242"/>
      <c r="L242"/>
      <c r="M242"/>
    </row>
    <row r="243" spans="2:13" ht="28.8" customHeight="1" x14ac:dyDescent="0.3">
      <c r="B243" s="150">
        <v>45992</v>
      </c>
      <c r="C243">
        <v>0.01</v>
      </c>
      <c r="D243" s="149" t="s">
        <v>243</v>
      </c>
      <c r="H243" t="s">
        <v>354</v>
      </c>
      <c r="K243"/>
      <c r="L243"/>
      <c r="M243"/>
    </row>
    <row r="244" spans="2:13" ht="28.8" customHeight="1" x14ac:dyDescent="0.3">
      <c r="B244" s="150">
        <v>45989</v>
      </c>
      <c r="C244">
        <v>100</v>
      </c>
      <c r="D244" s="149" t="s">
        <v>189</v>
      </c>
      <c r="H244"/>
      <c r="K244"/>
      <c r="L244"/>
      <c r="M244"/>
    </row>
    <row r="245" spans="2:13" ht="28.8" customHeight="1" x14ac:dyDescent="0.3">
      <c r="B245" s="150">
        <v>45988</v>
      </c>
      <c r="C245">
        <v>-163.04</v>
      </c>
      <c r="D245" s="149" t="s">
        <v>358</v>
      </c>
      <c r="H245" t="s">
        <v>249</v>
      </c>
      <c r="K245"/>
      <c r="L245"/>
      <c r="M245"/>
    </row>
    <row r="246" spans="2:13" ht="28.8" customHeight="1" x14ac:dyDescent="0.3">
      <c r="B246" s="150">
        <v>45986</v>
      </c>
      <c r="C246">
        <v>-204.99</v>
      </c>
      <c r="D246" s="149" t="s">
        <v>359</v>
      </c>
      <c r="H246" t="s">
        <v>261</v>
      </c>
      <c r="K246"/>
      <c r="L246"/>
      <c r="M246"/>
    </row>
    <row r="247" spans="2:13" ht="28.8" customHeight="1" x14ac:dyDescent="0.3">
      <c r="B247" s="150">
        <v>45986</v>
      </c>
      <c r="C247">
        <v>-12.99</v>
      </c>
      <c r="D247" s="149" t="s">
        <v>329</v>
      </c>
      <c r="E247" s="136" t="s">
        <v>9</v>
      </c>
      <c r="H247" t="s">
        <v>176</v>
      </c>
      <c r="K247"/>
      <c r="L247"/>
      <c r="M247"/>
    </row>
    <row r="248" spans="2:13" ht="28.8" customHeight="1" x14ac:dyDescent="0.3">
      <c r="B248" s="150">
        <v>45985</v>
      </c>
      <c r="C248">
        <v>159.99</v>
      </c>
      <c r="D248" s="149" t="s">
        <v>360</v>
      </c>
      <c r="H248" t="s">
        <v>361</v>
      </c>
      <c r="K248"/>
      <c r="L248"/>
      <c r="M248"/>
    </row>
    <row r="249" spans="2:13" ht="28.8" customHeight="1" x14ac:dyDescent="0.3">
      <c r="B249" s="150">
        <v>45985</v>
      </c>
      <c r="C249">
        <v>33.51</v>
      </c>
      <c r="D249" s="149" t="s">
        <v>173</v>
      </c>
      <c r="H249" t="s">
        <v>174</v>
      </c>
      <c r="K249"/>
      <c r="L249"/>
      <c r="M249"/>
    </row>
    <row r="250" spans="2:13" ht="28.8" customHeight="1" x14ac:dyDescent="0.3">
      <c r="B250" s="150">
        <v>45985</v>
      </c>
      <c r="C250">
        <v>1172.9100000000001</v>
      </c>
      <c r="D250" s="149" t="s">
        <v>193</v>
      </c>
      <c r="H250" t="s">
        <v>362</v>
      </c>
      <c r="K250"/>
      <c r="L250"/>
      <c r="M250"/>
    </row>
    <row r="251" spans="2:13" ht="28.8" customHeight="1" x14ac:dyDescent="0.3">
      <c r="B251" s="150">
        <v>45985</v>
      </c>
      <c r="C251">
        <v>-2</v>
      </c>
      <c r="D251" s="149" t="s">
        <v>187</v>
      </c>
      <c r="H251" t="s">
        <v>166</v>
      </c>
      <c r="K251"/>
      <c r="L251"/>
      <c r="M251"/>
    </row>
    <row r="252" spans="2:13" ht="28.8" customHeight="1" x14ac:dyDescent="0.3">
      <c r="B252" s="150">
        <v>45985</v>
      </c>
      <c r="C252">
        <v>-61.42</v>
      </c>
      <c r="D252" s="149" t="s">
        <v>342</v>
      </c>
      <c r="H252" t="s">
        <v>170</v>
      </c>
      <c r="K252"/>
      <c r="L252"/>
      <c r="M252"/>
    </row>
    <row r="253" spans="2:13" ht="28.8" customHeight="1" x14ac:dyDescent="0.3">
      <c r="B253" s="150">
        <v>45985</v>
      </c>
      <c r="C253">
        <v>-159.99</v>
      </c>
      <c r="D253" s="149" t="s">
        <v>363</v>
      </c>
      <c r="H253" t="s">
        <v>261</v>
      </c>
      <c r="K253"/>
      <c r="L253"/>
      <c r="M253"/>
    </row>
    <row r="254" spans="2:13" ht="28.8" customHeight="1" x14ac:dyDescent="0.3">
      <c r="B254" s="150">
        <v>45985</v>
      </c>
      <c r="C254">
        <v>-77.94</v>
      </c>
      <c r="D254" s="149" t="s">
        <v>171</v>
      </c>
      <c r="E254" s="136" t="s">
        <v>9</v>
      </c>
      <c r="F254" s="136" t="s">
        <v>10</v>
      </c>
      <c r="G254" s="136" t="s">
        <v>162</v>
      </c>
      <c r="H254" t="s">
        <v>364</v>
      </c>
      <c r="K254"/>
      <c r="L254"/>
      <c r="M254"/>
    </row>
    <row r="255" spans="2:13" ht="28.8" customHeight="1" x14ac:dyDescent="0.3">
      <c r="B255" s="150">
        <v>45982</v>
      </c>
      <c r="C255">
        <v>-2.99</v>
      </c>
      <c r="D255" s="149" t="s">
        <v>365</v>
      </c>
      <c r="H255" t="s">
        <v>366</v>
      </c>
      <c r="K255"/>
      <c r="L255"/>
      <c r="M255"/>
    </row>
    <row r="256" spans="2:13" ht="28.8" customHeight="1" x14ac:dyDescent="0.3">
      <c r="B256" s="150">
        <v>45982</v>
      </c>
      <c r="C256">
        <v>-2.88</v>
      </c>
      <c r="D256" s="149" t="s">
        <v>165</v>
      </c>
      <c r="E256" s="136" t="s">
        <v>9</v>
      </c>
      <c r="F256" s="136" t="s">
        <v>105</v>
      </c>
      <c r="G256" s="136" t="s">
        <v>164</v>
      </c>
      <c r="H256" t="s">
        <v>166</v>
      </c>
      <c r="K256"/>
      <c r="L256"/>
      <c r="M256"/>
    </row>
    <row r="257" spans="2:13" ht="28.8" customHeight="1" x14ac:dyDescent="0.3">
      <c r="B257" s="150">
        <v>45981</v>
      </c>
      <c r="C257">
        <v>-26</v>
      </c>
      <c r="D257" s="149" t="s">
        <v>184</v>
      </c>
      <c r="H257" t="s">
        <v>367</v>
      </c>
      <c r="K257"/>
      <c r="L257"/>
      <c r="M257"/>
    </row>
    <row r="258" spans="2:13" ht="28.8" customHeight="1" x14ac:dyDescent="0.3">
      <c r="B258" s="150">
        <v>45980</v>
      </c>
      <c r="C258">
        <v>-28.99</v>
      </c>
      <c r="D258" s="149" t="s">
        <v>184</v>
      </c>
      <c r="H258" t="s">
        <v>368</v>
      </c>
      <c r="K258"/>
      <c r="L258"/>
      <c r="M258"/>
    </row>
    <row r="259" spans="2:13" ht="28.8" customHeight="1" x14ac:dyDescent="0.3">
      <c r="B259" s="150">
        <v>45978</v>
      </c>
      <c r="C259">
        <v>-2.78</v>
      </c>
      <c r="D259" s="149" t="s">
        <v>165</v>
      </c>
      <c r="E259" t="s">
        <v>9</v>
      </c>
      <c r="F259" t="s">
        <v>105</v>
      </c>
      <c r="G259" s="136" t="s">
        <v>164</v>
      </c>
      <c r="H259" t="s">
        <v>166</v>
      </c>
      <c r="K259"/>
      <c r="L259"/>
      <c r="M259"/>
    </row>
    <row r="260" spans="2:13" ht="28.8" customHeight="1" x14ac:dyDescent="0.3">
      <c r="B260" s="150">
        <v>45978</v>
      </c>
      <c r="C260">
        <v>100</v>
      </c>
      <c r="D260" s="149" t="s">
        <v>369</v>
      </c>
      <c r="H260" t="s">
        <v>370</v>
      </c>
      <c r="K260"/>
      <c r="L260"/>
      <c r="M260"/>
    </row>
    <row r="261" spans="2:13" ht="28.8" customHeight="1" x14ac:dyDescent="0.3">
      <c r="B261" s="150">
        <v>45975</v>
      </c>
      <c r="C261">
        <v>-1.24</v>
      </c>
      <c r="D261" s="149" t="s">
        <v>165</v>
      </c>
      <c r="E261" s="136" t="s">
        <v>9</v>
      </c>
      <c r="F261" s="136" t="s">
        <v>105</v>
      </c>
      <c r="G261" s="136" t="s">
        <v>164</v>
      </c>
      <c r="H261" t="s">
        <v>166</v>
      </c>
      <c r="K261"/>
      <c r="L261"/>
      <c r="M261"/>
    </row>
    <row r="262" spans="2:13" ht="28.8" customHeight="1" x14ac:dyDescent="0.3">
      <c r="B262" s="150">
        <v>45973</v>
      </c>
      <c r="C262">
        <v>-2.93</v>
      </c>
      <c r="D262" s="149" t="s">
        <v>165</v>
      </c>
      <c r="E262" s="136" t="s">
        <v>9</v>
      </c>
      <c r="F262" s="136" t="s">
        <v>105</v>
      </c>
      <c r="G262" s="136" t="s">
        <v>164</v>
      </c>
      <c r="H262" t="s">
        <v>166</v>
      </c>
      <c r="K262"/>
      <c r="L262"/>
      <c r="M262"/>
    </row>
    <row r="263" spans="2:13" ht="28.8" customHeight="1" x14ac:dyDescent="0.3">
      <c r="B263" s="150">
        <v>45973</v>
      </c>
      <c r="C263">
        <v>-126.39</v>
      </c>
      <c r="D263" s="149" t="s">
        <v>184</v>
      </c>
      <c r="H263" t="s">
        <v>371</v>
      </c>
      <c r="K263"/>
      <c r="L263"/>
      <c r="M263"/>
    </row>
    <row r="264" spans="2:13" ht="28.8" customHeight="1" x14ac:dyDescent="0.3">
      <c r="B264" s="150">
        <v>45972</v>
      </c>
      <c r="C264">
        <v>-14.99</v>
      </c>
      <c r="D264" s="149" t="s">
        <v>372</v>
      </c>
      <c r="H264" t="s">
        <v>373</v>
      </c>
      <c r="K264"/>
      <c r="L264"/>
      <c r="M264"/>
    </row>
    <row r="265" spans="2:13" ht="28.8" customHeight="1" x14ac:dyDescent="0.3">
      <c r="B265" s="150">
        <v>45972</v>
      </c>
      <c r="C265">
        <v>-44.98</v>
      </c>
      <c r="D265" s="149" t="s">
        <v>184</v>
      </c>
      <c r="H265" t="s">
        <v>374</v>
      </c>
      <c r="K265"/>
      <c r="L265"/>
      <c r="M265"/>
    </row>
    <row r="266" spans="2:13" ht="28.8" customHeight="1" x14ac:dyDescent="0.3">
      <c r="B266" s="150">
        <v>45972</v>
      </c>
      <c r="C266">
        <v>-69.989999999999995</v>
      </c>
      <c r="D266" s="149" t="s">
        <v>184</v>
      </c>
      <c r="H266" t="s">
        <v>375</v>
      </c>
      <c r="K266"/>
      <c r="L266"/>
      <c r="M266"/>
    </row>
    <row r="267" spans="2:13" ht="28.8" customHeight="1" x14ac:dyDescent="0.3">
      <c r="B267" s="150">
        <v>45971</v>
      </c>
      <c r="C267">
        <v>-64.77</v>
      </c>
      <c r="D267" s="149" t="s">
        <v>342</v>
      </c>
      <c r="H267" t="s">
        <v>170</v>
      </c>
      <c r="K267"/>
      <c r="L267"/>
      <c r="M267"/>
    </row>
    <row r="268" spans="2:13" ht="28.8" customHeight="1" x14ac:dyDescent="0.3">
      <c r="B268" s="150">
        <v>45971</v>
      </c>
      <c r="C268">
        <v>-1.99</v>
      </c>
      <c r="D268" s="149" t="s">
        <v>165</v>
      </c>
      <c r="E268" t="s">
        <v>9</v>
      </c>
      <c r="F268" t="s">
        <v>105</v>
      </c>
      <c r="G268" s="136" t="s">
        <v>164</v>
      </c>
      <c r="H268" t="s">
        <v>166</v>
      </c>
      <c r="K268"/>
      <c r="L268"/>
      <c r="M268"/>
    </row>
    <row r="269" spans="2:13" ht="28.8" customHeight="1" x14ac:dyDescent="0.3">
      <c r="B269" s="150">
        <v>45971</v>
      </c>
      <c r="C269">
        <v>24</v>
      </c>
      <c r="D269" s="149" t="s">
        <v>173</v>
      </c>
      <c r="H269" t="s">
        <v>174</v>
      </c>
      <c r="K269"/>
      <c r="L269"/>
      <c r="M269"/>
    </row>
    <row r="270" spans="2:13" ht="28.8" customHeight="1" x14ac:dyDescent="0.3">
      <c r="B270" s="150">
        <v>45967</v>
      </c>
      <c r="C270">
        <v>-91.23</v>
      </c>
      <c r="D270" s="149" t="s">
        <v>169</v>
      </c>
      <c r="E270" s="136" t="s">
        <v>9</v>
      </c>
      <c r="F270" s="136" t="s">
        <v>10</v>
      </c>
      <c r="G270" s="136" t="s">
        <v>164</v>
      </c>
      <c r="H270" t="s">
        <v>170</v>
      </c>
      <c r="K270"/>
      <c r="L270"/>
      <c r="M270"/>
    </row>
    <row r="271" spans="2:13" ht="28.8" customHeight="1" x14ac:dyDescent="0.3">
      <c r="B271" s="150">
        <v>45967</v>
      </c>
      <c r="C271">
        <v>-58.57</v>
      </c>
      <c r="D271" s="149" t="s">
        <v>376</v>
      </c>
      <c r="H271" t="s">
        <v>178</v>
      </c>
      <c r="K271"/>
      <c r="L271"/>
      <c r="M271"/>
    </row>
    <row r="272" spans="2:13" ht="28.8" customHeight="1" x14ac:dyDescent="0.3">
      <c r="B272" s="150">
        <v>45966</v>
      </c>
      <c r="C272">
        <v>-8</v>
      </c>
      <c r="D272" s="149" t="s">
        <v>377</v>
      </c>
      <c r="H272" t="s">
        <v>378</v>
      </c>
      <c r="K272"/>
      <c r="L272"/>
      <c r="M272"/>
    </row>
    <row r="273" spans="2:13" ht="28.8" customHeight="1" x14ac:dyDescent="0.3">
      <c r="B273" s="150">
        <v>45966</v>
      </c>
      <c r="C273">
        <v>-0.79</v>
      </c>
      <c r="D273" s="149" t="s">
        <v>165</v>
      </c>
      <c r="E273" s="136" t="s">
        <v>9</v>
      </c>
      <c r="F273" s="136" t="s">
        <v>105</v>
      </c>
      <c r="G273" s="136" t="s">
        <v>164</v>
      </c>
      <c r="H273" t="s">
        <v>166</v>
      </c>
      <c r="K273"/>
      <c r="L273"/>
      <c r="M273"/>
    </row>
    <row r="274" spans="2:13" ht="28.8" customHeight="1" x14ac:dyDescent="0.3">
      <c r="B274" s="150">
        <v>45965</v>
      </c>
      <c r="C274">
        <v>-1.28</v>
      </c>
      <c r="D274" s="149" t="s">
        <v>165</v>
      </c>
      <c r="E274" s="136" t="s">
        <v>9</v>
      </c>
      <c r="F274" s="136" t="s">
        <v>105</v>
      </c>
      <c r="G274" s="136" t="s">
        <v>164</v>
      </c>
      <c r="H274" t="s">
        <v>166</v>
      </c>
      <c r="K274"/>
      <c r="L274"/>
      <c r="M274"/>
    </row>
    <row r="275" spans="2:13" ht="28.8" customHeight="1" x14ac:dyDescent="0.3">
      <c r="B275" s="150">
        <v>45965</v>
      </c>
      <c r="C275">
        <v>-62.9</v>
      </c>
      <c r="D275" s="149" t="s">
        <v>379</v>
      </c>
      <c r="H275" t="s">
        <v>380</v>
      </c>
    </row>
    <row r="276" spans="2:13" ht="28.8" customHeight="1" x14ac:dyDescent="0.3">
      <c r="B276" s="150">
        <v>45965</v>
      </c>
      <c r="C276">
        <v>-14</v>
      </c>
      <c r="D276" s="149" t="s">
        <v>184</v>
      </c>
      <c r="H276" t="s">
        <v>381</v>
      </c>
    </row>
    <row r="277" spans="2:13" ht="28.8" customHeight="1" x14ac:dyDescent="0.3">
      <c r="B277" s="150">
        <v>45965</v>
      </c>
      <c r="C277">
        <v>-20</v>
      </c>
      <c r="D277" s="149" t="s">
        <v>184</v>
      </c>
      <c r="H277" t="s">
        <v>382</v>
      </c>
    </row>
    <row r="278" spans="2:13" ht="28.8" customHeight="1" x14ac:dyDescent="0.3">
      <c r="B278" s="151">
        <v>45964</v>
      </c>
      <c r="C278" s="136">
        <v>-7.2</v>
      </c>
      <c r="D278" s="51" t="s">
        <v>184</v>
      </c>
      <c r="H278" s="136" t="s">
        <v>383</v>
      </c>
    </row>
    <row r="279" spans="2:13" x14ac:dyDescent="0.3">
      <c r="B279" s="151">
        <v>45961</v>
      </c>
      <c r="C279" s="136">
        <v>-2.82</v>
      </c>
      <c r="D279" s="51" t="s">
        <v>165</v>
      </c>
      <c r="E279" s="136" t="s">
        <v>9</v>
      </c>
      <c r="F279" s="136" t="s">
        <v>105</v>
      </c>
      <c r="G279" s="136" t="s">
        <v>164</v>
      </c>
      <c r="H279" s="136" t="s">
        <v>166</v>
      </c>
    </row>
    <row r="280" spans="2:13" x14ac:dyDescent="0.3">
      <c r="B280" s="151">
        <v>45961</v>
      </c>
      <c r="C280" s="136">
        <v>-23.48</v>
      </c>
      <c r="D280" s="51" t="s">
        <v>384</v>
      </c>
      <c r="H280" s="136" t="s">
        <v>178</v>
      </c>
    </row>
    <row r="281" spans="2:13" x14ac:dyDescent="0.3">
      <c r="B281" s="151">
        <v>45960</v>
      </c>
      <c r="C281" s="136">
        <v>-1.28</v>
      </c>
      <c r="D281" s="51" t="s">
        <v>165</v>
      </c>
      <c r="E281" s="136" t="s">
        <v>9</v>
      </c>
      <c r="F281" s="136" t="s">
        <v>105</v>
      </c>
      <c r="G281" s="136" t="s">
        <v>164</v>
      </c>
      <c r="H281" s="136" t="s">
        <v>166</v>
      </c>
    </row>
    <row r="282" spans="2:13" x14ac:dyDescent="0.3">
      <c r="B282" s="151">
        <v>45959</v>
      </c>
      <c r="C282" s="136">
        <v>-83.18</v>
      </c>
      <c r="D282" s="51" t="s">
        <v>385</v>
      </c>
      <c r="E282" s="136" t="s">
        <v>9</v>
      </c>
      <c r="F282" s="136" t="s">
        <v>10</v>
      </c>
      <c r="G282" s="136" t="s">
        <v>162</v>
      </c>
      <c r="H282" s="136" t="s">
        <v>386</v>
      </c>
    </row>
    <row r="283" spans="2:13" x14ac:dyDescent="0.3">
      <c r="B283" s="151">
        <v>45959</v>
      </c>
      <c r="C283" s="136">
        <v>-200</v>
      </c>
      <c r="D283" s="51" t="s">
        <v>184</v>
      </c>
      <c r="H283" s="136" t="s">
        <v>387</v>
      </c>
    </row>
    <row r="284" spans="2:13" x14ac:dyDescent="0.3">
      <c r="B284" s="151">
        <v>45959</v>
      </c>
      <c r="C284" s="136">
        <v>-210</v>
      </c>
      <c r="D284" s="51" t="s">
        <v>184</v>
      </c>
      <c r="H284" s="136" t="s">
        <v>388</v>
      </c>
    </row>
    <row r="285" spans="2:13" x14ac:dyDescent="0.3">
      <c r="B285" s="151">
        <v>45957</v>
      </c>
      <c r="C285" s="136">
        <v>-71.44</v>
      </c>
      <c r="D285" s="51" t="s">
        <v>298</v>
      </c>
    </row>
    <row r="286" spans="2:13" x14ac:dyDescent="0.3">
      <c r="B286" s="151">
        <v>45957</v>
      </c>
      <c r="C286" s="136">
        <v>1172.9100000000001</v>
      </c>
      <c r="D286" s="51" t="s">
        <v>193</v>
      </c>
      <c r="H286" s="136" t="s">
        <v>389</v>
      </c>
    </row>
    <row r="287" spans="2:13" x14ac:dyDescent="0.3">
      <c r="B287" s="151">
        <v>46147</v>
      </c>
      <c r="C287" s="136">
        <v>-0.74</v>
      </c>
      <c r="D287" s="51" t="s">
        <v>165</v>
      </c>
      <c r="E287" s="136" t="s">
        <v>9</v>
      </c>
      <c r="F287" s="136" t="s">
        <v>105</v>
      </c>
      <c r="G287" s="136" t="s">
        <v>164</v>
      </c>
      <c r="H287" s="136" t="s">
        <v>166</v>
      </c>
    </row>
    <row r="288" spans="2:13" x14ac:dyDescent="0.3">
      <c r="B288" s="151">
        <v>46147</v>
      </c>
      <c r="C288" s="136">
        <v>-68.64</v>
      </c>
      <c r="D288" s="51" t="s">
        <v>188</v>
      </c>
      <c r="H288" s="136" t="s">
        <v>170</v>
      </c>
    </row>
    <row r="289" spans="2:8" x14ac:dyDescent="0.3">
      <c r="B289" s="151">
        <v>46147</v>
      </c>
      <c r="C289" s="136">
        <v>-4.28</v>
      </c>
      <c r="D289" s="51" t="s">
        <v>165</v>
      </c>
      <c r="E289" s="136" t="s">
        <v>9</v>
      </c>
      <c r="F289" s="136" t="s">
        <v>105</v>
      </c>
      <c r="G289" s="136" t="s">
        <v>164</v>
      </c>
      <c r="H289" s="136" t="s">
        <v>166</v>
      </c>
    </row>
    <row r="290" spans="2:8" x14ac:dyDescent="0.3">
      <c r="B290" s="151">
        <v>46147</v>
      </c>
      <c r="C290" s="136">
        <v>-15</v>
      </c>
      <c r="D290" s="51" t="s">
        <v>184</v>
      </c>
      <c r="H290" s="136" t="s">
        <v>392</v>
      </c>
    </row>
    <row r="291" spans="2:8" x14ac:dyDescent="0.3">
      <c r="B291" s="151">
        <v>46147</v>
      </c>
      <c r="C291" s="136">
        <v>-63</v>
      </c>
      <c r="D291" s="51" t="s">
        <v>215</v>
      </c>
      <c r="H291" s="136" t="s">
        <v>393</v>
      </c>
    </row>
  </sheetData>
  <mergeCells count="2">
    <mergeCell ref="J6:M6"/>
    <mergeCell ref="J7:M9"/>
  </mergeCells>
  <phoneticPr fontId="28" type="noConversion"/>
  <conditionalFormatting sqref="B12:H1993">
    <cfRule type="expression" dxfId="100" priority="1">
      <formula>AND(NOT(ISBLANK($B12)),NOT(ISBLANK($E12)),NOT(ISBLANK($F12)))</formula>
    </cfRule>
    <cfRule type="expression" dxfId="99" priority="2">
      <formula>AND(NOT(ISBLANK($B12)),OR(ISBLANK($E12),ISBLANK($F12)))</formula>
    </cfRule>
  </conditionalFormatting>
  <dataValidations count="7">
    <dataValidation type="list" allowBlank="1" showInputMessage="1" showErrorMessage="1" errorTitle="Invalider Typ" sqref="E278:E1993 K275:K1997" xr:uid="{B3A8A016-D4CC-474B-A109-BA61920BB3F1}">
      <formula1>"Einkommen, Fixkosten, Variablekosten, Investment, System-Abgleich"</formula1>
    </dataValidation>
    <dataValidation type="list" allowBlank="1" showInputMessage="1" showErrorMessage="1" errorTitle="Invalide Kategorie" sqref="F278:F1993 L275:L1997" xr:uid="{004E70A4-0D35-496C-B09E-461D15AEC428}">
      <formula1>INDIRECT(E275)</formula1>
    </dataValidation>
    <dataValidation type="list" allowBlank="1" showInputMessage="1" showErrorMessage="1" sqref="G210:G1993" xr:uid="{2A1019A2-AA4D-4938-90CF-39B96B5B28FD}">
      <formula1>INDIRECT($E210 &amp; "_sub")</formula1>
    </dataValidation>
    <dataValidation type="list" allowBlank="1" showInputMessage="1" showErrorMessage="1" sqref="M12:M15" xr:uid="{33689A99-FC6D-4FDF-B62F-2ECA69E6EE19}">
      <formula1>INDIRECT("Sub_"&amp;$K12)</formula1>
    </dataValidation>
    <dataValidation type="list" allowBlank="1" showInputMessage="1" showErrorMessage="1" sqref="M275:M1997" xr:uid="{4DD14698-2545-43DD-8D6F-436BED295C27}">
      <formula1>INDIRECT($E271 &amp; "_sub")</formula1>
    </dataValidation>
    <dataValidation type="list" allowBlank="1" showInputMessage="1" showErrorMessage="1" sqref="K12:K15" xr:uid="{7D9E7AF8-6C9E-446E-8FDB-CE0581B66C50}">
      <formula1>"Einkommen,Fixkosten,Variablekosten,Investment,System-Abgleich"</formula1>
    </dataValidation>
    <dataValidation type="list" allowBlank="1" showInputMessage="1" showErrorMessage="1" sqref="L12:L15" xr:uid="{67CE7B0F-B2B3-4255-88DD-5A1AFA0B228C}">
      <formula1>INDIRECT("Kat_"&amp;$K12)</formula1>
    </dataValidation>
  </dataValidations>
  <pageMargins left="0.7" right="0.7" top="0.78740157499999996" bottom="0.78740157499999996" header="0.3" footer="0.3"/>
  <drawing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tabColor theme="2" tint="-9.9978637043366805E-2"/>
  </sheetPr>
  <dimension ref="A1:M29"/>
  <sheetViews>
    <sheetView workbookViewId="0">
      <selection activeCell="F16" sqref="F16"/>
    </sheetView>
  </sheetViews>
  <sheetFormatPr baseColWidth="10" defaultColWidth="10.6640625" defaultRowHeight="14.4" x14ac:dyDescent="0.3"/>
  <cols>
    <col min="1" max="2" width="4.44140625" style="136" customWidth="1"/>
    <col min="3" max="3" width="4.109375" style="136" customWidth="1"/>
    <col min="4" max="4" width="30.88671875" style="8" customWidth="1"/>
    <col min="5" max="5" width="2.88671875" style="136" customWidth="1"/>
    <col min="6" max="6" width="18.44140625" style="6" customWidth="1"/>
    <col min="7" max="7" width="3.33203125" style="136" customWidth="1"/>
    <col min="8" max="8" width="58.6640625" style="136" customWidth="1"/>
  </cols>
  <sheetData>
    <row r="1" spans="1:13" s="39" customFormat="1" ht="15" customHeight="1" x14ac:dyDescent="0.7">
      <c r="A1" s="174" t="s">
        <v>76</v>
      </c>
      <c r="B1" s="173"/>
      <c r="C1" s="173"/>
      <c r="D1" s="173"/>
    </row>
    <row r="2" spans="1:13" s="39" customFormat="1" ht="15" customHeight="1" x14ac:dyDescent="0.7">
      <c r="A2" s="173"/>
      <c r="B2" s="173"/>
      <c r="C2" s="173"/>
      <c r="D2" s="173"/>
    </row>
    <row r="3" spans="1:13" s="39" customFormat="1" ht="15" customHeight="1" x14ac:dyDescent="0.7">
      <c r="A3" s="173"/>
      <c r="B3" s="173"/>
      <c r="C3" s="173"/>
      <c r="D3" s="173"/>
    </row>
    <row r="4" spans="1:13" ht="15" customHeight="1" thickBot="1" x14ac:dyDescent="0.35"/>
    <row r="5" spans="1:13" ht="15" customHeight="1" thickBot="1" x14ac:dyDescent="0.35">
      <c r="C5" s="188" t="s">
        <v>77</v>
      </c>
      <c r="D5" s="189"/>
      <c r="E5" s="189"/>
      <c r="F5" s="189"/>
      <c r="G5" s="189"/>
      <c r="H5" s="189"/>
      <c r="I5" s="189"/>
      <c r="J5" s="189"/>
      <c r="K5" s="189"/>
      <c r="L5" s="189"/>
      <c r="M5" s="190"/>
    </row>
    <row r="6" spans="1:13" x14ac:dyDescent="0.3">
      <c r="C6" s="44"/>
      <c r="D6" s="45"/>
      <c r="E6" s="46"/>
      <c r="F6" s="47"/>
      <c r="G6" s="46"/>
      <c r="H6" s="46"/>
      <c r="I6" s="46"/>
      <c r="J6" s="46"/>
      <c r="K6" s="46"/>
      <c r="L6" s="46"/>
      <c r="M6" s="48"/>
    </row>
    <row r="7" spans="1:13" x14ac:dyDescent="0.3">
      <c r="C7" s="1"/>
      <c r="D7" s="130" t="s">
        <v>78</v>
      </c>
      <c r="F7" s="131">
        <v>2025</v>
      </c>
      <c r="H7" s="58" t="s">
        <v>79</v>
      </c>
      <c r="M7" s="2"/>
    </row>
    <row r="8" spans="1:13" ht="15" customHeight="1" thickBot="1" x14ac:dyDescent="0.35">
      <c r="C8" s="3"/>
      <c r="D8" s="9"/>
      <c r="E8" s="4"/>
      <c r="F8" s="7"/>
      <c r="G8" s="4"/>
      <c r="H8" s="4"/>
      <c r="I8" s="4"/>
      <c r="J8" s="4"/>
      <c r="K8" s="4"/>
      <c r="L8" s="4"/>
      <c r="M8" s="5"/>
    </row>
    <row r="9" spans="1:13" ht="15" customHeight="1" thickBot="1" x14ac:dyDescent="0.35"/>
    <row r="10" spans="1:13" ht="15" customHeight="1" thickBot="1" x14ac:dyDescent="0.35">
      <c r="C10" s="188" t="s">
        <v>80</v>
      </c>
      <c r="D10" s="189"/>
      <c r="E10" s="189"/>
      <c r="F10" s="189"/>
      <c r="G10" s="189"/>
      <c r="H10" s="189"/>
      <c r="I10" s="189"/>
      <c r="J10" s="189"/>
      <c r="K10" s="189"/>
      <c r="L10" s="189"/>
      <c r="M10" s="190"/>
    </row>
    <row r="11" spans="1:13" x14ac:dyDescent="0.3">
      <c r="C11" s="44"/>
      <c r="D11" s="45"/>
      <c r="E11" s="46"/>
      <c r="F11" s="47"/>
      <c r="G11" s="46"/>
      <c r="H11" s="46"/>
      <c r="I11" s="46"/>
      <c r="J11" s="46"/>
      <c r="K11" s="46"/>
      <c r="L11" s="46"/>
      <c r="M11" s="48"/>
    </row>
    <row r="12" spans="1:13" x14ac:dyDescent="0.3">
      <c r="C12" s="1"/>
      <c r="D12" s="130" t="s">
        <v>81</v>
      </c>
      <c r="M12" s="2"/>
    </row>
    <row r="13" spans="1:13" x14ac:dyDescent="0.3">
      <c r="C13" s="1"/>
      <c r="M13" s="2"/>
    </row>
    <row r="14" spans="1:13" ht="15" customHeight="1" x14ac:dyDescent="0.3">
      <c r="C14" s="1"/>
      <c r="D14" s="8" t="s">
        <v>82</v>
      </c>
      <c r="F14" s="153" t="b">
        <v>1</v>
      </c>
      <c r="H14" s="187" t="s">
        <v>83</v>
      </c>
      <c r="I14" s="186"/>
      <c r="J14" s="186"/>
      <c r="K14" s="186"/>
      <c r="L14" s="186"/>
      <c r="M14" s="2"/>
    </row>
    <row r="15" spans="1:13" x14ac:dyDescent="0.3">
      <c r="C15" s="1"/>
      <c r="H15" s="179"/>
      <c r="I15" s="186"/>
      <c r="J15" s="186"/>
      <c r="K15" s="186"/>
      <c r="L15" s="186"/>
      <c r="M15" s="2"/>
    </row>
    <row r="16" spans="1:13" x14ac:dyDescent="0.3">
      <c r="C16" s="1"/>
      <c r="D16" s="8" t="s">
        <v>84</v>
      </c>
      <c r="F16" s="132">
        <v>25</v>
      </c>
      <c r="H16" s="179"/>
      <c r="I16" s="186"/>
      <c r="J16" s="186"/>
      <c r="K16" s="186"/>
      <c r="L16" s="186"/>
      <c r="M16" s="2"/>
    </row>
    <row r="17" spans="3:13" x14ac:dyDescent="0.3">
      <c r="C17" s="1"/>
      <c r="M17" s="2"/>
    </row>
    <row r="18" spans="3:13" x14ac:dyDescent="0.3">
      <c r="C18" s="1"/>
      <c r="D18" s="130" t="s">
        <v>85</v>
      </c>
      <c r="M18" s="2"/>
    </row>
    <row r="19" spans="3:13" x14ac:dyDescent="0.3">
      <c r="C19" s="1"/>
      <c r="M19" s="2"/>
    </row>
    <row r="20" spans="3:13" ht="15" customHeight="1" x14ac:dyDescent="0.3">
      <c r="C20" s="1"/>
      <c r="D20" s="8" t="s">
        <v>86</v>
      </c>
      <c r="F20" s="131" t="s">
        <v>28</v>
      </c>
      <c r="H20" s="185" t="s">
        <v>87</v>
      </c>
      <c r="I20" s="186"/>
      <c r="J20" s="186"/>
      <c r="K20" s="186"/>
      <c r="L20" s="186"/>
      <c r="M20" s="11"/>
    </row>
    <row r="21" spans="3:13" x14ac:dyDescent="0.3">
      <c r="C21" s="1"/>
      <c r="H21" s="179"/>
      <c r="I21" s="186"/>
      <c r="J21" s="186"/>
      <c r="K21" s="186"/>
      <c r="L21" s="186"/>
      <c r="M21" s="11"/>
    </row>
    <row r="22" spans="3:13" x14ac:dyDescent="0.3">
      <c r="C22" s="1"/>
      <c r="H22" s="179"/>
      <c r="I22" s="186"/>
      <c r="J22" s="186"/>
      <c r="K22" s="186"/>
      <c r="L22" s="186"/>
      <c r="M22" s="11"/>
    </row>
    <row r="23" spans="3:13" x14ac:dyDescent="0.3">
      <c r="C23" s="1"/>
      <c r="M23" s="2"/>
    </row>
    <row r="24" spans="3:13" x14ac:dyDescent="0.3">
      <c r="C24" s="1"/>
      <c r="M24" s="2"/>
    </row>
    <row r="25" spans="3:13" ht="15" customHeight="1" thickBot="1" x14ac:dyDescent="0.35">
      <c r="C25" s="3"/>
      <c r="D25" s="9"/>
      <c r="E25" s="4"/>
      <c r="F25" s="7"/>
      <c r="G25" s="4"/>
      <c r="H25" s="59"/>
      <c r="I25" s="59"/>
      <c r="J25" s="59"/>
      <c r="K25" s="59"/>
      <c r="L25" s="59"/>
      <c r="M25" s="5"/>
    </row>
    <row r="26" spans="3:13" x14ac:dyDescent="0.3">
      <c r="H26" s="58"/>
      <c r="I26" s="58"/>
      <c r="J26" s="58"/>
      <c r="K26" s="58"/>
      <c r="L26" s="58"/>
    </row>
    <row r="29" spans="3:13" x14ac:dyDescent="0.3">
      <c r="D29" s="135"/>
    </row>
  </sheetData>
  <mergeCells count="5">
    <mergeCell ref="H20:L22"/>
    <mergeCell ref="A1:D3"/>
    <mergeCell ref="H14:L16"/>
    <mergeCell ref="C5:M5"/>
    <mergeCell ref="C10:M10"/>
  </mergeCells>
  <conditionalFormatting sqref="D16:F16">
    <cfRule type="expression" dxfId="75" priority="3">
      <formula>$F$14=FALSE</formula>
    </cfRule>
  </conditionalFormatting>
  <conditionalFormatting sqref="F20">
    <cfRule type="expression" dxfId="74" priority="2">
      <formula>$F$14=FALSE</formula>
    </cfRule>
  </conditionalFormatting>
  <conditionalFormatting sqref="D29">
    <cfRule type="cellIs" dxfId="73" priority="1" operator="equal">
      <formula>""</formula>
    </cfRule>
  </conditionalFormatting>
  <dataValidations count="1">
    <dataValidation type="list" allowBlank="1" showInputMessage="1" showErrorMessage="1" sqref="F20" xr:uid="{00000000-0002-0000-0400-000000000000}">
      <formula1>Status_KPI_Berechnung</formula1>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7">
    <tabColor theme="9" tint="0.79998168889431442"/>
  </sheetPr>
  <dimension ref="A1:K18"/>
  <sheetViews>
    <sheetView zoomScaleNormal="100" workbookViewId="0">
      <selection activeCell="D28" sqref="D28"/>
    </sheetView>
  </sheetViews>
  <sheetFormatPr baseColWidth="10" defaultColWidth="10.6640625" defaultRowHeight="14.4" x14ac:dyDescent="0.3"/>
  <cols>
    <col min="1" max="1" width="4.44140625" style="136" customWidth="1"/>
    <col min="2" max="2" width="1.44140625" style="136" customWidth="1"/>
    <col min="3" max="4" width="22.33203125" style="136" customWidth="1"/>
    <col min="5" max="5" width="28.33203125" style="136" customWidth="1"/>
    <col min="6" max="6" width="27" style="136" customWidth="1"/>
    <col min="7" max="7" width="22.33203125" style="136" customWidth="1"/>
    <col min="8" max="8" width="42.44140625" style="136" customWidth="1"/>
    <col min="9" max="9" width="43.6640625" style="128" customWidth="1"/>
    <col min="10" max="10" width="18.5546875" style="136" customWidth="1"/>
    <col min="11" max="11" width="23.5546875" style="136" customWidth="1"/>
  </cols>
  <sheetData>
    <row r="1" spans="1:11" s="39" customFormat="1" ht="15" customHeight="1" x14ac:dyDescent="0.7">
      <c r="A1" s="172" t="s">
        <v>88</v>
      </c>
      <c r="B1" s="173"/>
      <c r="C1" s="173"/>
      <c r="I1" s="133"/>
    </row>
    <row r="2" spans="1:11" s="39" customFormat="1" ht="15" customHeight="1" x14ac:dyDescent="0.7">
      <c r="A2" s="173"/>
      <c r="B2" s="173"/>
      <c r="C2" s="173"/>
      <c r="I2" s="133"/>
    </row>
    <row r="3" spans="1:11" s="39" customFormat="1" ht="15" customHeight="1" x14ac:dyDescent="0.7">
      <c r="A3" s="173"/>
      <c r="B3" s="173"/>
      <c r="C3" s="173"/>
      <c r="I3" s="133"/>
    </row>
    <row r="9" spans="1:11" x14ac:dyDescent="0.3">
      <c r="C9" s="157"/>
      <c r="D9" s="157"/>
      <c r="E9" s="157"/>
      <c r="F9" s="157"/>
      <c r="G9" s="157"/>
      <c r="H9" s="157"/>
      <c r="I9" s="144"/>
    </row>
    <row r="11" spans="1:11" ht="15" thickBot="1" x14ac:dyDescent="0.35"/>
    <row r="12" spans="1:11" x14ac:dyDescent="0.3">
      <c r="C12" s="163" t="s">
        <v>143</v>
      </c>
      <c r="D12" s="164"/>
      <c r="E12" s="164"/>
      <c r="F12" s="164"/>
      <c r="G12" s="164"/>
      <c r="H12" s="164"/>
      <c r="I12" s="165"/>
      <c r="J12"/>
      <c r="K12"/>
    </row>
    <row r="13" spans="1:11" x14ac:dyDescent="0.3">
      <c r="C13" s="142" t="s">
        <v>144</v>
      </c>
      <c r="D13" s="130" t="s">
        <v>145</v>
      </c>
      <c r="E13" s="130" t="s">
        <v>146</v>
      </c>
      <c r="F13" s="130" t="s">
        <v>147</v>
      </c>
      <c r="G13" s="130" t="s">
        <v>148</v>
      </c>
      <c r="H13" s="130" t="s">
        <v>149</v>
      </c>
      <c r="I13" s="143" t="s">
        <v>150</v>
      </c>
      <c r="J13"/>
      <c r="K13"/>
    </row>
    <row r="14" spans="1:11" ht="15.6" customHeight="1" x14ac:dyDescent="0.3">
      <c r="C14" s="148" t="s">
        <v>140</v>
      </c>
      <c r="D14" s="144" t="s">
        <v>141</v>
      </c>
      <c r="E14" s="144" t="s">
        <v>91</v>
      </c>
      <c r="F14" s="145" t="s">
        <v>75</v>
      </c>
      <c r="G14" s="146" t="s">
        <v>142</v>
      </c>
      <c r="H14" s="145" t="s">
        <v>92</v>
      </c>
      <c r="I14" s="147" t="s">
        <v>93</v>
      </c>
      <c r="J14"/>
      <c r="K14"/>
    </row>
    <row r="15" spans="1:11" ht="15" thickBot="1" x14ac:dyDescent="0.35">
      <c r="C15" s="3"/>
      <c r="D15" s="9"/>
      <c r="E15" s="4"/>
      <c r="F15" s="7"/>
      <c r="G15" s="4"/>
      <c r="H15" s="4"/>
      <c r="I15" s="5"/>
      <c r="J15"/>
      <c r="K15"/>
    </row>
    <row r="16" spans="1:11" x14ac:dyDescent="0.3">
      <c r="C16"/>
      <c r="D16" s="8"/>
      <c r="E16"/>
      <c r="F16" s="6"/>
      <c r="G16"/>
      <c r="H16"/>
      <c r="I16"/>
      <c r="J16"/>
      <c r="K16"/>
    </row>
    <row r="17" spans="3:11" x14ac:dyDescent="0.3">
      <c r="C17" s="40" t="s">
        <v>0</v>
      </c>
      <c r="D17" s="40" t="s">
        <v>3</v>
      </c>
      <c r="E17" s="40" t="s">
        <v>4</v>
      </c>
      <c r="F17" s="40" t="s">
        <v>5</v>
      </c>
      <c r="G17" s="40" t="s">
        <v>1</v>
      </c>
      <c r="H17" s="40" t="s">
        <v>2</v>
      </c>
      <c r="I17" s="40" t="s">
        <v>6</v>
      </c>
      <c r="J17" s="41" t="s">
        <v>89</v>
      </c>
      <c r="K17" s="41" t="s">
        <v>90</v>
      </c>
    </row>
    <row r="18" spans="3:11" ht="15" customHeight="1" x14ac:dyDescent="0.3">
      <c r="C18" s="160"/>
      <c r="D18" s="161"/>
      <c r="E18" s="60"/>
      <c r="F18" s="60"/>
      <c r="G18" s="61"/>
      <c r="H18" s="61"/>
      <c r="I18" s="134"/>
      <c r="J18" s="52"/>
      <c r="K18" s="162"/>
    </row>
  </sheetData>
  <mergeCells count="2">
    <mergeCell ref="A1:C3"/>
    <mergeCell ref="C12:I12"/>
  </mergeCells>
  <phoneticPr fontId="28" type="noConversion"/>
  <conditionalFormatting sqref="F18">
    <cfRule type="expression" dxfId="72" priority="29">
      <formula>ISNA(MATCH(F18,INDIRECT(E18),0))</formula>
    </cfRule>
  </conditionalFormatting>
  <conditionalFormatting sqref="G18:H18">
    <cfRule type="expression" dxfId="71" priority="24">
      <formula>OR(D18="Fixkosten",D18="Variablekosten")</formula>
    </cfRule>
    <cfRule type="expression" dxfId="70" priority="25">
      <formula>D18="Investment"</formula>
    </cfRule>
    <cfRule type="expression" dxfId="69" priority="26">
      <formula>D18="Variablekosten"</formula>
    </cfRule>
    <cfRule type="expression" dxfId="68" priority="27">
      <formula>D18="Fixkosten"</formula>
    </cfRule>
    <cfRule type="expression" dxfId="67" priority="28">
      <formula>D18="Einkommen"</formula>
    </cfRule>
  </conditionalFormatting>
  <conditionalFormatting sqref="G14">
    <cfRule type="expression" dxfId="66" priority="1">
      <formula>OR(D14="Fixkosten",D14="Variablekosten")</formula>
    </cfRule>
    <cfRule type="expression" dxfId="65" priority="2">
      <formula>D14="Investment"</formula>
    </cfRule>
    <cfRule type="expression" dxfId="64" priority="3">
      <formula>D14="Variablekosten"</formula>
    </cfRule>
    <cfRule type="expression" dxfId="63" priority="4">
      <formula>D14="Fixkosten"</formula>
    </cfRule>
    <cfRule type="expression" dxfId="62" priority="5">
      <formula>D14="Einkommen"</formula>
    </cfRule>
  </conditionalFormatting>
  <dataValidations count="5">
    <dataValidation type="custom" allowBlank="1" showInputMessage="1" showErrorMessage="1" errorTitle="Invalider Betrag" sqref="G18:H18" xr:uid="{00000000-0002-0000-0500-000002000000}">
      <formula1>ISNUMBER(G18)</formula1>
    </dataValidation>
    <dataValidation type="list" allowBlank="1" showInputMessage="1" showErrorMessage="1" errorTitle="Invalider Typ" sqref="D18" xr:uid="{00000000-0002-0000-0500-000001000000}">
      <formula1>"Einkommen, Fixkosten, Variablekosten, Investment, System-Abgleich"</formula1>
    </dataValidation>
    <dataValidation type="list" allowBlank="1" showInputMessage="1" showErrorMessage="1" sqref="D14" xr:uid="{4C5527DC-6A9C-4313-AC27-6D2114E3EA72}">
      <formula1>"Einkommen, Fixkosten, Variablekosten, Investment, System-Abgleich"</formula1>
    </dataValidation>
    <dataValidation type="list" allowBlank="1" showInputMessage="1" showErrorMessage="1" sqref="E18" xr:uid="{5012D181-C496-4AFE-B211-9BFBC919161D}">
      <formula1>INDIRECT("Kat_"&amp;$D18)</formula1>
    </dataValidation>
    <dataValidation type="list" allowBlank="1" showInputMessage="1" showErrorMessage="1" sqref="F18" xr:uid="{EF0CAC6D-6DDF-4A4B-AF78-4D79405CF4F1}">
      <formula1>INDIRECT("Sub_"&amp;$D18)</formula1>
    </dataValidation>
  </dataValidations>
  <pageMargins left="0.7" right="0.7" top="0.78740157499999996" bottom="0.78740157499999996"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errorTitle="Ungültige Subkategorie" error="Bitte eine Subkategorie aus der Liste wählen (zuerst Type wählen)." xr:uid="{A096EF4B-D223-4A59-A82D-AD06F45D8742}">
          <x14:formula1>
            <xm:f>OFFSET('Dropdown Data'!$O$6,0,0,MAX(1,COUNTIF('Dropdown Data'!$O$6:$O$50,"?*")),1)</xm:f>
          </x14:formula1>
          <xm:sqref>F14</xm:sqref>
        </x14:dataValidation>
        <x14:dataValidation type="list" allowBlank="1" showInputMessage="1" showErrorMessage="1" errorTitle="Ungültige Kategorie" error="Bitte eine Kategorie aus der Liste wählen (zuerst Type wählen)." xr:uid="{F7A21729-B046-403A-A8B3-49416F42CE3E}">
          <x14:formula1>
            <xm:f>OFFSET('Dropdown Data'!$N$6,0,0,MAX(1,COUNTIF('Dropdown Data'!$N$6:$N$50,"?*")),1)</xm:f>
          </x14:formula1>
          <xm:sqref>E14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theme="9" tint="0.79998168889431442"/>
    <pageSetUpPr autoPageBreaks="0"/>
  </sheetPr>
  <dimension ref="A1:FB59"/>
  <sheetViews>
    <sheetView zoomScale="120" zoomScaleNormal="120" workbookViewId="0">
      <pane xSplit="4" topLeftCell="E1" activePane="topRight" state="frozen"/>
      <selection activeCell="A3" sqref="A3"/>
      <selection pane="topRight" activeCell="C62" sqref="C62"/>
    </sheetView>
  </sheetViews>
  <sheetFormatPr baseColWidth="10" defaultColWidth="10.6640625" defaultRowHeight="14.4" outlineLevelCol="1" x14ac:dyDescent="0.3"/>
  <cols>
    <col min="1" max="1" width="4.44140625" style="136" customWidth="1"/>
    <col min="2" max="2" width="1.44140625" style="136" bestFit="1" customWidth="1"/>
    <col min="3" max="3" width="35.109375" style="136" bestFit="1" customWidth="1"/>
    <col min="4" max="4" width="3.109375" style="136" customWidth="1"/>
    <col min="5" max="5" width="14.109375" style="136" customWidth="1" outlineLevel="1"/>
    <col min="6" max="16" width="13.5546875" style="136" customWidth="1" outlineLevel="1"/>
    <col min="17" max="17" width="14.5546875" style="136" bestFit="1" customWidth="1"/>
    <col min="18" max="18" width="3" style="136" customWidth="1"/>
    <col min="19" max="30" width="9.109375" style="136" hidden="1" customWidth="1" outlineLevel="1"/>
    <col min="31" max="31" width="11.88671875" style="136" customWidth="1" collapsed="1"/>
    <col min="32" max="32" width="3" style="136" customWidth="1"/>
    <col min="33" max="44" width="9.109375" style="136" hidden="1" customWidth="1" outlineLevel="1"/>
    <col min="45" max="45" width="10.21875" style="136" customWidth="1" collapsed="1"/>
    <col min="46" max="46" width="3" style="136" customWidth="1"/>
    <col min="47" max="58" width="9.109375" style="136" hidden="1" customWidth="1" outlineLevel="1"/>
    <col min="59" max="59" width="11.109375" style="136" customWidth="1" collapsed="1"/>
    <col min="60" max="60" width="3" style="136" customWidth="1"/>
    <col min="61" max="72" width="9.109375" style="136" hidden="1" customWidth="1" outlineLevel="1"/>
    <col min="73" max="73" width="10.5546875" style="136" customWidth="1" collapsed="1"/>
    <col min="74" max="74" width="3" style="136" customWidth="1"/>
    <col min="75" max="86" width="9.109375" style="136" hidden="1" customWidth="1" outlineLevel="1"/>
    <col min="87" max="87" width="10.6640625" style="136" customWidth="1" collapsed="1"/>
    <col min="88" max="88" width="3" style="136" customWidth="1"/>
    <col min="89" max="100" width="9.109375" style="136" hidden="1" customWidth="1" outlineLevel="1"/>
    <col min="101" max="101" width="10.44140625" style="136" customWidth="1" collapsed="1"/>
    <col min="102" max="102" width="3" style="136" customWidth="1"/>
    <col min="103" max="114" width="9.109375" style="136" hidden="1" customWidth="1" outlineLevel="1"/>
    <col min="115" max="115" width="10.88671875" style="136" customWidth="1" collapsed="1"/>
    <col min="116" max="116" width="3" style="136" customWidth="1"/>
    <col min="117" max="128" width="9.109375" style="136" hidden="1" customWidth="1" outlineLevel="1"/>
    <col min="129" max="129" width="10.88671875" style="136" customWidth="1" collapsed="1"/>
    <col min="130" max="130" width="3" style="136" customWidth="1"/>
    <col min="131" max="142" width="9.109375" style="136" hidden="1" customWidth="1" outlineLevel="1"/>
    <col min="143" max="143" width="10.109375" style="136" customWidth="1" collapsed="1"/>
    <col min="144" max="144" width="3" style="136" customWidth="1"/>
    <col min="145" max="156" width="9.109375" style="136" hidden="1" customWidth="1" outlineLevel="1"/>
    <col min="157" max="157" width="11.6640625" style="136" customWidth="1" collapsed="1"/>
    <col min="158" max="158" width="3" style="136" customWidth="1"/>
  </cols>
  <sheetData>
    <row r="1" spans="1:157" s="39" customFormat="1" ht="15.75" customHeight="1" x14ac:dyDescent="0.7">
      <c r="A1" s="192" t="s">
        <v>96</v>
      </c>
      <c r="B1" s="173"/>
      <c r="C1" s="173"/>
    </row>
    <row r="2" spans="1:157" s="39" customFormat="1" ht="15" customHeight="1" x14ac:dyDescent="0.7">
      <c r="A2" s="173"/>
      <c r="B2" s="173"/>
      <c r="C2" s="173"/>
    </row>
    <row r="3" spans="1:157" s="39" customFormat="1" ht="15" customHeight="1" x14ac:dyDescent="0.7">
      <c r="A3" s="173"/>
      <c r="B3" s="173"/>
      <c r="C3" s="173"/>
    </row>
    <row r="5" spans="1:157" ht="18" customHeight="1" x14ac:dyDescent="0.35">
      <c r="E5" s="191">
        <f>start_year</f>
        <v>2025</v>
      </c>
      <c r="F5" s="179"/>
      <c r="G5" s="179"/>
      <c r="H5" s="179"/>
      <c r="I5" s="179"/>
      <c r="J5" s="179"/>
      <c r="K5" s="179"/>
      <c r="L5" s="179"/>
      <c r="M5" s="179"/>
      <c r="N5" s="179"/>
      <c r="O5" s="179"/>
      <c r="P5" s="179"/>
      <c r="Q5" s="179"/>
      <c r="S5" s="191">
        <f>E5+1</f>
        <v>2026</v>
      </c>
      <c r="T5" s="179"/>
      <c r="U5" s="179"/>
      <c r="V5" s="179"/>
      <c r="W5" s="179"/>
      <c r="X5" s="179"/>
      <c r="Y5" s="179"/>
      <c r="Z5" s="179"/>
      <c r="AA5" s="179"/>
      <c r="AB5" s="179"/>
      <c r="AC5" s="179"/>
      <c r="AD5" s="179"/>
      <c r="AE5" s="179"/>
      <c r="AG5" s="191">
        <f>S5+1</f>
        <v>2027</v>
      </c>
      <c r="AH5" s="179"/>
      <c r="AI5" s="179"/>
      <c r="AJ5" s="179"/>
      <c r="AK5" s="179"/>
      <c r="AL5" s="179"/>
      <c r="AM5" s="179"/>
      <c r="AN5" s="179"/>
      <c r="AO5" s="179"/>
      <c r="AP5" s="179"/>
      <c r="AQ5" s="179"/>
      <c r="AR5" s="179"/>
      <c r="AS5" s="179"/>
      <c r="AU5" s="191">
        <f>AG5+1</f>
        <v>2028</v>
      </c>
      <c r="AV5" s="179"/>
      <c r="AW5" s="179"/>
      <c r="AX5" s="179"/>
      <c r="AY5" s="179"/>
      <c r="AZ5" s="179"/>
      <c r="BA5" s="179"/>
      <c r="BB5" s="179"/>
      <c r="BC5" s="179"/>
      <c r="BD5" s="179"/>
      <c r="BE5" s="179"/>
      <c r="BF5" s="179"/>
      <c r="BG5" s="179"/>
      <c r="BI5" s="191">
        <f>AU5+1</f>
        <v>2029</v>
      </c>
      <c r="BJ5" s="179"/>
      <c r="BK5" s="179"/>
      <c r="BL5" s="179"/>
      <c r="BM5" s="179"/>
      <c r="BN5" s="179"/>
      <c r="BO5" s="179"/>
      <c r="BP5" s="179"/>
      <c r="BQ5" s="179"/>
      <c r="BR5" s="179"/>
      <c r="BS5" s="179"/>
      <c r="BT5" s="179"/>
      <c r="BU5" s="179"/>
      <c r="BW5" s="191">
        <f>BI5+1</f>
        <v>2030</v>
      </c>
      <c r="BX5" s="179"/>
      <c r="BY5" s="179"/>
      <c r="BZ5" s="179"/>
      <c r="CA5" s="179"/>
      <c r="CB5" s="179"/>
      <c r="CC5" s="179"/>
      <c r="CD5" s="179"/>
      <c r="CE5" s="179"/>
      <c r="CF5" s="179"/>
      <c r="CG5" s="179"/>
      <c r="CH5" s="179"/>
      <c r="CI5" s="179"/>
      <c r="CK5" s="191">
        <f>BW5+1</f>
        <v>2031</v>
      </c>
      <c r="CL5" s="179"/>
      <c r="CM5" s="179"/>
      <c r="CN5" s="179"/>
      <c r="CO5" s="179"/>
      <c r="CP5" s="179"/>
      <c r="CQ5" s="179"/>
      <c r="CR5" s="179"/>
      <c r="CS5" s="179"/>
      <c r="CT5" s="179"/>
      <c r="CU5" s="179"/>
      <c r="CV5" s="179"/>
      <c r="CW5" s="179"/>
      <c r="CY5" s="191">
        <f>CK5+1</f>
        <v>2032</v>
      </c>
      <c r="CZ5" s="179"/>
      <c r="DA5" s="179"/>
      <c r="DB5" s="179"/>
      <c r="DC5" s="179"/>
      <c r="DD5" s="179"/>
      <c r="DE5" s="179"/>
      <c r="DF5" s="179"/>
      <c r="DG5" s="179"/>
      <c r="DH5" s="179"/>
      <c r="DI5" s="179"/>
      <c r="DJ5" s="179"/>
      <c r="DK5" s="179"/>
      <c r="DM5" s="191">
        <f>CY5+1</f>
        <v>2033</v>
      </c>
      <c r="DN5" s="179"/>
      <c r="DO5" s="179"/>
      <c r="DP5" s="179"/>
      <c r="DQ5" s="179"/>
      <c r="DR5" s="179"/>
      <c r="DS5" s="179"/>
      <c r="DT5" s="179"/>
      <c r="DU5" s="179"/>
      <c r="DV5" s="179"/>
      <c r="DW5" s="179"/>
      <c r="DX5" s="179"/>
      <c r="DY5" s="179"/>
      <c r="EA5" s="191">
        <f>DM5+1</f>
        <v>2034</v>
      </c>
      <c r="EB5" s="179"/>
      <c r="EC5" s="179"/>
      <c r="ED5" s="179"/>
      <c r="EE5" s="179"/>
      <c r="EF5" s="179"/>
      <c r="EG5" s="179"/>
      <c r="EH5" s="179"/>
      <c r="EI5" s="179"/>
      <c r="EJ5" s="179"/>
      <c r="EK5" s="179"/>
      <c r="EL5" s="179"/>
      <c r="EM5" s="179"/>
      <c r="EO5" s="191">
        <f>EA5+1</f>
        <v>2035</v>
      </c>
      <c r="EP5" s="179"/>
      <c r="EQ5" s="179"/>
      <c r="ER5" s="179"/>
      <c r="ES5" s="179"/>
      <c r="ET5" s="179"/>
      <c r="EU5" s="179"/>
      <c r="EV5" s="179"/>
      <c r="EW5" s="179"/>
      <c r="EX5" s="179"/>
      <c r="EY5" s="179"/>
      <c r="EZ5" s="179"/>
      <c r="FA5" s="179"/>
    </row>
    <row r="6" spans="1:157" x14ac:dyDescent="0.3">
      <c r="E6" s="35" t="str">
        <f ca="1">IF(OR(E7=0, TODAY()&gt;DATE(D$5, 2, 0)), "Jan ✓", "Jan")</f>
        <v>Jan ✓</v>
      </c>
      <c r="F6" s="36" t="str">
        <f ca="1">IF(OR(F7=0, TODAY()&gt;DATE(D$5, 3, 0)), "Feb ✓", "Feb")</f>
        <v>Feb ✓</v>
      </c>
      <c r="G6" s="36" t="str">
        <f ca="1">IF(OR(G7=0, TODAY()&gt;DATE(D$5, 4, 0)), "Mrz ✓", "Mrz")</f>
        <v>Mrz ✓</v>
      </c>
      <c r="H6" s="36" t="str">
        <f ca="1">IF(OR(H7=0, TODAY()&gt;DATE(D$5, 5, 0)), "Apr ✓", "Apr")</f>
        <v>Apr ✓</v>
      </c>
      <c r="I6" s="36" t="str">
        <f ca="1">IF(OR(I7=0, TODAY()&gt;DATE(D$5, 6, 0)), "Mai ✓", "Mai")</f>
        <v>Mai ✓</v>
      </c>
      <c r="J6" s="36" t="str">
        <f ca="1">IF(OR(J7=0, TODAY()&gt;DATE(D$5, 7, 0)), "Jun ✓", "Jun")</f>
        <v>Jun ✓</v>
      </c>
      <c r="K6" s="36" t="str">
        <f ca="1">IF(OR(K7=0, TODAY()&gt;DATE(D$5, 8, 0)), "Jul ✓", "Jul")</f>
        <v>Jul ✓</v>
      </c>
      <c r="L6" s="36" t="str">
        <f ca="1">IF(OR(L7=0, TODAY()&gt;DATE(D$5, 9, 0)), "Aug ✓", "Aug")</f>
        <v>Aug ✓</v>
      </c>
      <c r="M6" s="36" t="str">
        <f ca="1">IF(OR(M7=0, TODAY()&gt;DATE(D$5, 10, 0)), "Sep ✓", "Sep")</f>
        <v>Sep ✓</v>
      </c>
      <c r="N6" s="36" t="str">
        <f ca="1">IF(OR(N7=0, TODAY()&gt;DATE(D$5, 11, 0)), "Okt ✓", "Okt")</f>
        <v>Okt ✓</v>
      </c>
      <c r="O6" s="36" t="str">
        <f ca="1">IF(OR(O7=0, TODAY()&gt;DATE(D$5, 12, 0)), "Nov ✓", "Nov")</f>
        <v>Nov ✓</v>
      </c>
      <c r="P6" s="36" t="str">
        <f ca="1">IF(OR(P7=0, TODAY()&gt;DATE(D$5, 1, 1+1)), "Dez ✓", "Dez")</f>
        <v>Dez ✓</v>
      </c>
      <c r="Q6" s="36" t="str">
        <f ca="1">IF(OR(Q7=0, TODAY()&gt;DATE(D$5+1, 1, 0)), "Total ✓", "Total")</f>
        <v>Total ✓</v>
      </c>
      <c r="S6" s="35" t="str">
        <f ca="1">IF(S7=0,"Jan ✓", "Jan")</f>
        <v>Jan ✓</v>
      </c>
      <c r="T6" s="36" t="str">
        <f ca="1">IF(T7=0,"Feb ✓", "Feb")</f>
        <v>Feb ✓</v>
      </c>
      <c r="U6" s="36" t="str">
        <f ca="1">IF(U7=0,"Mrz ✓", "Mrz")</f>
        <v>Mrz ✓</v>
      </c>
      <c r="V6" s="36" t="str">
        <f ca="1">IF(V7=0,"Apr ✓", "Apr")</f>
        <v>Apr ✓</v>
      </c>
      <c r="W6" s="36" t="str">
        <f ca="1">IF(W7=0,"Mai ✓", "Mai")</f>
        <v>Mai ✓</v>
      </c>
      <c r="X6" s="36" t="str">
        <f ca="1">IF(X7=0,"Jun ✓", "Jun")</f>
        <v>Jun ✓</v>
      </c>
      <c r="Y6" s="36" t="str">
        <f ca="1">IF(Y7=0,"Jul ✓", "Jul")</f>
        <v>Jul ✓</v>
      </c>
      <c r="Z6" s="36" t="str">
        <f ca="1">IF(Z7=0,"Aug ✓", "Aug")</f>
        <v>Aug ✓</v>
      </c>
      <c r="AA6" s="36" t="str">
        <f ca="1">IF(AA7=0,"Sep ✓", "Sep")</f>
        <v>Sep ✓</v>
      </c>
      <c r="AB6" s="36" t="str">
        <f ca="1">IF(AB7=0,"Okt ✓", "Okt")</f>
        <v>Okt ✓</v>
      </c>
      <c r="AC6" s="36" t="str">
        <f ca="1">IF(AC7=0,"Nov ✓", "Nov")</f>
        <v>Nov ✓</v>
      </c>
      <c r="AD6" s="36" t="str">
        <f ca="1">IF(AD7=0,"Dez ✓", "Dez")</f>
        <v>Dez ✓</v>
      </c>
      <c r="AE6" s="36" t="str">
        <f ca="1">IF(AE7=0,"Total ✓", "Total")</f>
        <v>Total ✓</v>
      </c>
      <c r="AG6" s="35" t="str">
        <f ca="1">IF(AG7=0,"Jan ✓", "Jan")</f>
        <v>Jan ✓</v>
      </c>
      <c r="AH6" s="36" t="str">
        <f ca="1">IF(AH7=0,"Feb ✓", "Feb")</f>
        <v>Feb ✓</v>
      </c>
      <c r="AI6" s="36" t="str">
        <f ca="1">IF(AI7=0,"Mrz ✓", "Mrz")</f>
        <v>Mrz ✓</v>
      </c>
      <c r="AJ6" s="36" t="str">
        <f ca="1">IF(AJ7=0,"Apr ✓", "Apr")</f>
        <v>Apr ✓</v>
      </c>
      <c r="AK6" s="36" t="str">
        <f ca="1">IF(AK7=0,"Mai ✓", "Mai")</f>
        <v>Mai ✓</v>
      </c>
      <c r="AL6" s="36" t="str">
        <f ca="1">IF(AL7=0,"Jun ✓", "Jun")</f>
        <v>Jun ✓</v>
      </c>
      <c r="AM6" s="36" t="str">
        <f ca="1">IF(AM7=0,"Jul ✓", "Jul")</f>
        <v>Jul ✓</v>
      </c>
      <c r="AN6" s="36" t="str">
        <f ca="1">IF(AN7=0,"Aug ✓", "Aug")</f>
        <v>Aug ✓</v>
      </c>
      <c r="AO6" s="36" t="str">
        <f ca="1">IF(AO7=0,"Sep ✓", "Sep")</f>
        <v>Sep ✓</v>
      </c>
      <c r="AP6" s="36" t="str">
        <f ca="1">IF(AP7=0,"Okt ✓", "Okt")</f>
        <v>Okt ✓</v>
      </c>
      <c r="AQ6" s="36" t="str">
        <f ca="1">IF(AQ7=0,"Nov ✓", "Nov")</f>
        <v>Nov ✓</v>
      </c>
      <c r="AR6" s="36" t="str">
        <f ca="1">IF(AR7=0,"Dez ✓", "Dez")</f>
        <v>Dez ✓</v>
      </c>
      <c r="AS6" s="36" t="str">
        <f ca="1">IF(AS7=0,"Total ✓", "Total")</f>
        <v>Total ✓</v>
      </c>
      <c r="AU6" s="35" t="str">
        <f ca="1">IF(AU7=0,"Jan ✓", "Jan")</f>
        <v>Jan ✓</v>
      </c>
      <c r="AV6" s="36" t="str">
        <f ca="1">IF(AV7=0,"Feb ✓", "Feb")</f>
        <v>Feb ✓</v>
      </c>
      <c r="AW6" s="36" t="str">
        <f ca="1">IF(AW7=0,"Mrz ✓", "Mrz")</f>
        <v>Mrz ✓</v>
      </c>
      <c r="AX6" s="36" t="str">
        <f ca="1">IF(AX7=0,"Apr ✓", "Apr")</f>
        <v>Apr ✓</v>
      </c>
      <c r="AY6" s="36" t="str">
        <f ca="1">IF(AY7=0,"Mai ✓", "Mai")</f>
        <v>Mai ✓</v>
      </c>
      <c r="AZ6" s="36" t="str">
        <f ca="1">IF(AZ7=0,"Jun ✓", "Jun")</f>
        <v>Jun ✓</v>
      </c>
      <c r="BA6" s="36" t="str">
        <f ca="1">IF(BA7=0,"Jul ✓", "Jul")</f>
        <v>Jul ✓</v>
      </c>
      <c r="BB6" s="36" t="str">
        <f ca="1">IF(BB7=0,"Aug ✓", "Aug")</f>
        <v>Aug ✓</v>
      </c>
      <c r="BC6" s="36" t="str">
        <f ca="1">IF(BC7=0,"Sep ✓", "Sep")</f>
        <v>Sep ✓</v>
      </c>
      <c r="BD6" s="36" t="str">
        <f ca="1">IF(BD7=0,"Okt ✓", "Okt")</f>
        <v>Okt ✓</v>
      </c>
      <c r="BE6" s="36" t="str">
        <f ca="1">IF(BE7=0,"Nov ✓", "Nov")</f>
        <v>Nov ✓</v>
      </c>
      <c r="BF6" s="36" t="str">
        <f ca="1">IF(BF7=0,"Dez ✓", "Dez")</f>
        <v>Dez ✓</v>
      </c>
      <c r="BG6" s="36" t="str">
        <f ca="1">IF(BG7=0,"Total ✓", "Total")</f>
        <v>Total ✓</v>
      </c>
      <c r="BI6" s="35" t="str">
        <f ca="1">IF(BI7=0,"Jan ✓", "Jan")</f>
        <v>Jan ✓</v>
      </c>
      <c r="BJ6" s="36" t="str">
        <f ca="1">IF(BJ7=0,"Feb ✓", "Feb")</f>
        <v>Feb ✓</v>
      </c>
      <c r="BK6" s="36" t="str">
        <f ca="1">IF(BK7=0,"Mrz ✓", "Mrz")</f>
        <v>Mrz ✓</v>
      </c>
      <c r="BL6" s="36" t="str">
        <f ca="1">IF(BL7=0,"Apr ✓", "Apr")</f>
        <v>Apr ✓</v>
      </c>
      <c r="BM6" s="36" t="str">
        <f ca="1">IF(BM7=0,"Mai ✓", "Mai")</f>
        <v>Mai ✓</v>
      </c>
      <c r="BN6" s="36" t="str">
        <f ca="1">IF(BN7=0,"Jun ✓", "Jun")</f>
        <v>Jun ✓</v>
      </c>
      <c r="BO6" s="36" t="str">
        <f ca="1">IF(BO7=0,"Jul ✓", "Jul")</f>
        <v>Jul ✓</v>
      </c>
      <c r="BP6" s="36" t="str">
        <f ca="1">IF(BP7=0,"Aug ✓", "Aug")</f>
        <v>Aug ✓</v>
      </c>
      <c r="BQ6" s="36" t="str">
        <f ca="1">IF(BQ7=0,"Sep ✓", "Sep")</f>
        <v>Sep ✓</v>
      </c>
      <c r="BR6" s="36" t="str">
        <f ca="1">IF(BR7=0,"Okt ✓", "Okt")</f>
        <v>Okt ✓</v>
      </c>
      <c r="BS6" s="36" t="str">
        <f ca="1">IF(BS7=0,"Nov ✓", "Nov")</f>
        <v>Nov ✓</v>
      </c>
      <c r="BT6" s="36" t="str">
        <f ca="1">IF(BT7=0,"Dez ✓", "Dez")</f>
        <v>Dez ✓</v>
      </c>
      <c r="BU6" s="36" t="str">
        <f ca="1">IF(BU7=0,"Total ✓", "Total")</f>
        <v>Total ✓</v>
      </c>
      <c r="BW6" s="35" t="str">
        <f ca="1">IF(BW7=0,"Jan ✓", "Jan")</f>
        <v>Jan ✓</v>
      </c>
      <c r="BX6" s="36" t="str">
        <f ca="1">IF(BX7=0,"Feb ✓", "Feb")</f>
        <v>Feb ✓</v>
      </c>
      <c r="BY6" s="36" t="str">
        <f ca="1">IF(BY7=0,"Mrz ✓", "Mrz")</f>
        <v>Mrz ✓</v>
      </c>
      <c r="BZ6" s="36" t="str">
        <f ca="1">IF(BZ7=0,"Apr ✓", "Apr")</f>
        <v>Apr ✓</v>
      </c>
      <c r="CA6" s="36" t="str">
        <f ca="1">IF(CA7=0,"Mai ✓", "Mai")</f>
        <v>Mai ✓</v>
      </c>
      <c r="CB6" s="36" t="str">
        <f ca="1">IF(CB7=0,"Jun ✓", "Jun")</f>
        <v>Jun ✓</v>
      </c>
      <c r="CC6" s="36" t="str">
        <f ca="1">IF(CC7=0,"Jul ✓", "Jul")</f>
        <v>Jul ✓</v>
      </c>
      <c r="CD6" s="36" t="str">
        <f ca="1">IF(CD7=0,"Aug ✓", "Aug")</f>
        <v>Aug ✓</v>
      </c>
      <c r="CE6" s="36" t="str">
        <f ca="1">IF(CE7=0,"Sep ✓", "Sep")</f>
        <v>Sep ✓</v>
      </c>
      <c r="CF6" s="36" t="str">
        <f ca="1">IF(CF7=0,"Okt ✓", "Okt")</f>
        <v>Okt ✓</v>
      </c>
      <c r="CG6" s="36" t="str">
        <f ca="1">IF(CG7=0,"Nov ✓", "Nov")</f>
        <v>Nov ✓</v>
      </c>
      <c r="CH6" s="36" t="str">
        <f ca="1">IF(CH7=0,"Dez ✓", "Dez")</f>
        <v>Dez ✓</v>
      </c>
      <c r="CI6" s="36" t="str">
        <f ca="1">IF(CI7=0,"Total ✓", "Total")</f>
        <v>Total ✓</v>
      </c>
      <c r="CK6" s="35" t="str">
        <f ca="1">IF(CK7=0,"Jan ✓", "Jan")</f>
        <v>Jan ✓</v>
      </c>
      <c r="CL6" s="36" t="str">
        <f ca="1">IF(CL7=0,"Feb ✓", "Feb")</f>
        <v>Feb ✓</v>
      </c>
      <c r="CM6" s="36" t="str">
        <f ca="1">IF(CM7=0,"Mrz ✓", "Mrz")</f>
        <v>Mrz ✓</v>
      </c>
      <c r="CN6" s="36" t="str">
        <f ca="1">IF(CN7=0,"Apr ✓", "Apr")</f>
        <v>Apr ✓</v>
      </c>
      <c r="CO6" s="36" t="str">
        <f ca="1">IF(CO7=0,"Mai ✓", "Mai")</f>
        <v>Mai ✓</v>
      </c>
      <c r="CP6" s="36" t="str">
        <f ca="1">IF(CP7=0,"Jun ✓", "Jun")</f>
        <v>Jun ✓</v>
      </c>
      <c r="CQ6" s="36" t="str">
        <f ca="1">IF(CQ7=0,"Jul ✓", "Jul")</f>
        <v>Jul ✓</v>
      </c>
      <c r="CR6" s="36" t="str">
        <f ca="1">IF(CR7=0,"Aug ✓", "Aug")</f>
        <v>Aug ✓</v>
      </c>
      <c r="CS6" s="36" t="str">
        <f ca="1">IF(CS7=0,"Sep ✓", "Sep")</f>
        <v>Sep ✓</v>
      </c>
      <c r="CT6" s="36" t="str">
        <f ca="1">IF(CT7=0,"Okt ✓", "Okt")</f>
        <v>Okt ✓</v>
      </c>
      <c r="CU6" s="36" t="str">
        <f ca="1">IF(CU7=0,"Nov ✓", "Nov")</f>
        <v>Nov ✓</v>
      </c>
      <c r="CV6" s="36" t="str">
        <f ca="1">IF(CV7=0,"Dez ✓", "Dez")</f>
        <v>Dez ✓</v>
      </c>
      <c r="CW6" s="36" t="str">
        <f ca="1">IF(CW7=0,"Total ✓", "Total")</f>
        <v>Total ✓</v>
      </c>
      <c r="CY6" s="35" t="str">
        <f ca="1">IF(CY7=0,"Jan ✓", "Jan")</f>
        <v>Jan ✓</v>
      </c>
      <c r="CZ6" s="36" t="str">
        <f ca="1">IF(CZ7=0,"Feb ✓", "Feb")</f>
        <v>Feb ✓</v>
      </c>
      <c r="DA6" s="36" t="str">
        <f ca="1">IF(DA7=0,"Mrz ✓", "Mrz")</f>
        <v>Mrz ✓</v>
      </c>
      <c r="DB6" s="36" t="str">
        <f ca="1">IF(DB7=0,"Apr ✓", "Apr")</f>
        <v>Apr ✓</v>
      </c>
      <c r="DC6" s="36" t="str">
        <f ca="1">IF(DC7=0,"Mai ✓", "Mai")</f>
        <v>Mai ✓</v>
      </c>
      <c r="DD6" s="36" t="str">
        <f ca="1">IF(DD7=0,"Jun ✓", "Jun")</f>
        <v>Jun ✓</v>
      </c>
      <c r="DE6" s="36" t="str">
        <f ca="1">IF(DE7=0,"Jul ✓", "Jul")</f>
        <v>Jul ✓</v>
      </c>
      <c r="DF6" s="36" t="str">
        <f ca="1">IF(DF7=0,"Aug ✓", "Aug")</f>
        <v>Aug ✓</v>
      </c>
      <c r="DG6" s="36" t="str">
        <f ca="1">IF(DG7=0,"Sep ✓", "Sep")</f>
        <v>Sep ✓</v>
      </c>
      <c r="DH6" s="36" t="str">
        <f ca="1">IF(DH7=0,"Okt ✓", "Okt")</f>
        <v>Okt ✓</v>
      </c>
      <c r="DI6" s="36" t="str">
        <f ca="1">IF(DI7=0,"Nov ✓", "Nov")</f>
        <v>Nov ✓</v>
      </c>
      <c r="DJ6" s="36" t="str">
        <f ca="1">IF(DJ7=0,"Dez ✓", "Dez")</f>
        <v>Dez ✓</v>
      </c>
      <c r="DK6" s="36" t="str">
        <f ca="1">IF(DK7=0,"Total ✓", "Total")</f>
        <v>Total ✓</v>
      </c>
      <c r="DM6" s="35" t="str">
        <f ca="1">IF(DM7=0,"Jan ✓", "Jan")</f>
        <v>Jan ✓</v>
      </c>
      <c r="DN6" s="36" t="str">
        <f ca="1">IF(DN7=0,"Feb ✓", "Feb")</f>
        <v>Feb ✓</v>
      </c>
      <c r="DO6" s="36" t="str">
        <f ca="1">IF(DO7=0,"Mrz ✓", "Mrz")</f>
        <v>Mrz ✓</v>
      </c>
      <c r="DP6" s="36" t="str">
        <f ca="1">IF(DP7=0,"Apr ✓", "Apr")</f>
        <v>Apr ✓</v>
      </c>
      <c r="DQ6" s="36" t="str">
        <f ca="1">IF(DQ7=0,"Mai ✓", "Mai")</f>
        <v>Mai ✓</v>
      </c>
      <c r="DR6" s="36" t="str">
        <f ca="1">IF(DR7=0,"Jun ✓", "Jun")</f>
        <v>Jun ✓</v>
      </c>
      <c r="DS6" s="36" t="str">
        <f ca="1">IF(DS7=0,"Jul ✓", "Jul")</f>
        <v>Jul ✓</v>
      </c>
      <c r="DT6" s="36" t="str">
        <f ca="1">IF(DT7=0,"Aug ✓", "Aug")</f>
        <v>Aug ✓</v>
      </c>
      <c r="DU6" s="36" t="str">
        <f ca="1">IF(DU7=0,"Sep ✓", "Sep")</f>
        <v>Sep ✓</v>
      </c>
      <c r="DV6" s="36" t="str">
        <f ca="1">IF(DV7=0,"Okt ✓", "Okt")</f>
        <v>Okt ✓</v>
      </c>
      <c r="DW6" s="36" t="str">
        <f ca="1">IF(DW7=0,"Nov ✓", "Nov")</f>
        <v>Nov ✓</v>
      </c>
      <c r="DX6" s="36" t="str">
        <f ca="1">IF(DX7=0,"Dez ✓", "Dez")</f>
        <v>Dez ✓</v>
      </c>
      <c r="DY6" s="36" t="str">
        <f ca="1">IF(DY7=0,"Total ✓", "Total")</f>
        <v>Total ✓</v>
      </c>
      <c r="EA6" s="35" t="str">
        <f ca="1">IF(EA7=0,"Jan ✓", "Jan")</f>
        <v>Jan ✓</v>
      </c>
      <c r="EB6" s="36" t="str">
        <f ca="1">IF(EB7=0,"Feb ✓", "Feb")</f>
        <v>Feb ✓</v>
      </c>
      <c r="EC6" s="36" t="str">
        <f ca="1">IF(EC7=0,"Mrz ✓", "Mrz")</f>
        <v>Mrz ✓</v>
      </c>
      <c r="ED6" s="36" t="str">
        <f ca="1">IF(ED7=0,"Apr ✓", "Apr")</f>
        <v>Apr ✓</v>
      </c>
      <c r="EE6" s="36" t="str">
        <f ca="1">IF(EE7=0,"Mai ✓", "Mai")</f>
        <v>Mai ✓</v>
      </c>
      <c r="EF6" s="36" t="str">
        <f ca="1">IF(EF7=0,"Jun ✓", "Jun")</f>
        <v>Jun ✓</v>
      </c>
      <c r="EG6" s="36" t="str">
        <f ca="1">IF(EG7=0,"Jul ✓", "Jul")</f>
        <v>Jul ✓</v>
      </c>
      <c r="EH6" s="36" t="str">
        <f ca="1">IF(EH7=0,"Aug ✓", "Aug")</f>
        <v>Aug ✓</v>
      </c>
      <c r="EI6" s="36" t="str">
        <f ca="1">IF(EI7=0,"Sep ✓", "Sep")</f>
        <v>Sep ✓</v>
      </c>
      <c r="EJ6" s="36" t="str">
        <f ca="1">IF(EJ7=0,"Okt ✓", "Okt")</f>
        <v>Okt ✓</v>
      </c>
      <c r="EK6" s="36" t="str">
        <f ca="1">IF(EK7=0,"Nov ✓", "Nov")</f>
        <v>Nov ✓</v>
      </c>
      <c r="EL6" s="36" t="str">
        <f ca="1">IF(EL7=0,"Dez ✓", "Dez")</f>
        <v>Dez ✓</v>
      </c>
      <c r="EM6" s="36" t="str">
        <f ca="1">IF(EM7=0,"Total ✓", "Total")</f>
        <v>Total ✓</v>
      </c>
      <c r="EO6" s="35" t="str">
        <f ca="1">IF(EO7=0,"Jan ✓", "Jan")</f>
        <v>Jan ✓</v>
      </c>
      <c r="EP6" s="36" t="str">
        <f ca="1">IF(EP7=0,"Feb ✓", "Feb")</f>
        <v>Feb ✓</v>
      </c>
      <c r="EQ6" s="36" t="str">
        <f ca="1">IF(EQ7=0,"Mrz ✓", "Mrz")</f>
        <v>Mrz ✓</v>
      </c>
      <c r="ER6" s="36" t="str">
        <f ca="1">IF(ER7=0,"Apr ✓", "Apr")</f>
        <v>Apr ✓</v>
      </c>
      <c r="ES6" s="36" t="str">
        <f ca="1">IF(ES7=0,"Mai ✓", "Mai")</f>
        <v>Mai ✓</v>
      </c>
      <c r="ET6" s="36" t="str">
        <f ca="1">IF(ET7=0,"Jun ✓", "Jun")</f>
        <v>Jun ✓</v>
      </c>
      <c r="EU6" s="36" t="str">
        <f ca="1">IF(EU7=0,"Jul ✓", "Jul")</f>
        <v>Jul ✓</v>
      </c>
      <c r="EV6" s="36" t="str">
        <f ca="1">IF(EV7=0,"Aug ✓", "Aug")</f>
        <v>Aug ✓</v>
      </c>
      <c r="EW6" s="36" t="str">
        <f ca="1">IF(EW7=0,"Sep ✓", "Sep")</f>
        <v>Sep ✓</v>
      </c>
      <c r="EX6" s="36" t="str">
        <f ca="1">IF(EX7=0,"Okt ✓", "Okt")</f>
        <v>Okt ✓</v>
      </c>
      <c r="EY6" s="36" t="str">
        <f ca="1">IF(EY7=0,"Nov ✓", "Nov")</f>
        <v>Nov ✓</v>
      </c>
      <c r="EZ6" s="36" t="str">
        <f ca="1">IF(EZ7=0,"Dez ✓", "Dez")</f>
        <v>Dez ✓</v>
      </c>
      <c r="FA6" s="36" t="str">
        <f ca="1">IF(FA7=0,"Total ✓", "Total")</f>
        <v>Total ✓</v>
      </c>
    </row>
    <row r="7" spans="1:157" x14ac:dyDescent="0.3">
      <c r="C7" s="12" t="s">
        <v>97</v>
      </c>
      <c r="E7" s="37">
        <f t="shared" ref="E7:Q7" ca="1" si="0">E20-(E33+E46+E59)</f>
        <v>123.5</v>
      </c>
      <c r="F7" s="37">
        <f t="shared" ca="1" si="0"/>
        <v>382.5</v>
      </c>
      <c r="G7" s="37">
        <f t="shared" ca="1" si="0"/>
        <v>-429.5</v>
      </c>
      <c r="H7" s="37">
        <f t="shared" ca="1" si="0"/>
        <v>350.5</v>
      </c>
      <c r="I7" s="37">
        <f t="shared" ca="1" si="0"/>
        <v>123.5</v>
      </c>
      <c r="J7" s="37">
        <f t="shared" ca="1" si="0"/>
        <v>182.5</v>
      </c>
      <c r="K7" s="37">
        <f t="shared" ca="1" si="0"/>
        <v>-229.5</v>
      </c>
      <c r="L7" s="37">
        <f t="shared" ca="1" si="0"/>
        <v>350.5</v>
      </c>
      <c r="M7" s="37">
        <f t="shared" ca="1" si="0"/>
        <v>-76.5</v>
      </c>
      <c r="N7" s="37">
        <f t="shared" ca="1" si="0"/>
        <v>382.5</v>
      </c>
      <c r="O7" s="37">
        <f t="shared" ca="1" si="0"/>
        <v>-229.5</v>
      </c>
      <c r="P7" s="37">
        <f t="shared" ca="1" si="0"/>
        <v>150.5</v>
      </c>
      <c r="Q7" s="38">
        <f t="shared" ca="1" si="0"/>
        <v>1081</v>
      </c>
      <c r="S7" s="37">
        <f t="shared" ref="S7:AE7" ca="1" si="1">S20-(S33+S46+S59)</f>
        <v>0</v>
      </c>
      <c r="T7" s="37">
        <f t="shared" ca="1" si="1"/>
        <v>0</v>
      </c>
      <c r="U7" s="37">
        <f t="shared" ca="1" si="1"/>
        <v>0</v>
      </c>
      <c r="V7" s="37">
        <f t="shared" ca="1" si="1"/>
        <v>0</v>
      </c>
      <c r="W7" s="37">
        <f t="shared" ca="1" si="1"/>
        <v>0</v>
      </c>
      <c r="X7" s="37">
        <f t="shared" ca="1" si="1"/>
        <v>0</v>
      </c>
      <c r="Y7" s="37">
        <f t="shared" ca="1" si="1"/>
        <v>0</v>
      </c>
      <c r="Z7" s="37">
        <f t="shared" ca="1" si="1"/>
        <v>0</v>
      </c>
      <c r="AA7" s="37">
        <f t="shared" ca="1" si="1"/>
        <v>0</v>
      </c>
      <c r="AB7" s="37">
        <f t="shared" ca="1" si="1"/>
        <v>0</v>
      </c>
      <c r="AC7" s="37">
        <f t="shared" ca="1" si="1"/>
        <v>0</v>
      </c>
      <c r="AD7" s="37">
        <f t="shared" ca="1" si="1"/>
        <v>0</v>
      </c>
      <c r="AE7" s="38">
        <f t="shared" ca="1" si="1"/>
        <v>0</v>
      </c>
      <c r="AG7" s="37">
        <f t="shared" ref="AG7:AS7" ca="1" si="2">AG20-(AG33+AG46+AG59)</f>
        <v>0</v>
      </c>
      <c r="AH7" s="37">
        <f t="shared" ca="1" si="2"/>
        <v>0</v>
      </c>
      <c r="AI7" s="37">
        <f t="shared" ca="1" si="2"/>
        <v>0</v>
      </c>
      <c r="AJ7" s="37">
        <f t="shared" ca="1" si="2"/>
        <v>0</v>
      </c>
      <c r="AK7" s="37">
        <f t="shared" ca="1" si="2"/>
        <v>0</v>
      </c>
      <c r="AL7" s="37">
        <f t="shared" ca="1" si="2"/>
        <v>0</v>
      </c>
      <c r="AM7" s="37">
        <f t="shared" ca="1" si="2"/>
        <v>0</v>
      </c>
      <c r="AN7" s="37">
        <f t="shared" ca="1" si="2"/>
        <v>0</v>
      </c>
      <c r="AO7" s="37">
        <f t="shared" ca="1" si="2"/>
        <v>0</v>
      </c>
      <c r="AP7" s="37">
        <f t="shared" ca="1" si="2"/>
        <v>0</v>
      </c>
      <c r="AQ7" s="37">
        <f t="shared" ca="1" si="2"/>
        <v>0</v>
      </c>
      <c r="AR7" s="37">
        <f t="shared" ca="1" si="2"/>
        <v>0</v>
      </c>
      <c r="AS7" s="38">
        <f t="shared" ca="1" si="2"/>
        <v>0</v>
      </c>
      <c r="AU7" s="37">
        <f t="shared" ref="AU7:BG7" ca="1" si="3">AU20-(AU33+AU46+AU59)</f>
        <v>0</v>
      </c>
      <c r="AV7" s="37">
        <f t="shared" ca="1" si="3"/>
        <v>0</v>
      </c>
      <c r="AW7" s="37">
        <f t="shared" ca="1" si="3"/>
        <v>0</v>
      </c>
      <c r="AX7" s="37">
        <f t="shared" ca="1" si="3"/>
        <v>0</v>
      </c>
      <c r="AY7" s="37">
        <f t="shared" ca="1" si="3"/>
        <v>0</v>
      </c>
      <c r="AZ7" s="37">
        <f t="shared" ca="1" si="3"/>
        <v>0</v>
      </c>
      <c r="BA7" s="37">
        <f t="shared" ca="1" si="3"/>
        <v>0</v>
      </c>
      <c r="BB7" s="37">
        <f t="shared" ca="1" si="3"/>
        <v>0</v>
      </c>
      <c r="BC7" s="37">
        <f t="shared" ca="1" si="3"/>
        <v>0</v>
      </c>
      <c r="BD7" s="37">
        <f t="shared" ca="1" si="3"/>
        <v>0</v>
      </c>
      <c r="BE7" s="37">
        <f t="shared" ca="1" si="3"/>
        <v>0</v>
      </c>
      <c r="BF7" s="37">
        <f t="shared" ca="1" si="3"/>
        <v>0</v>
      </c>
      <c r="BG7" s="38">
        <f t="shared" ca="1" si="3"/>
        <v>0</v>
      </c>
      <c r="BI7" s="37">
        <f t="shared" ref="BI7:BU7" ca="1" si="4">BI20-(BI33+BI46+BI59)</f>
        <v>0</v>
      </c>
      <c r="BJ7" s="37">
        <f t="shared" ca="1" si="4"/>
        <v>0</v>
      </c>
      <c r="BK7" s="37">
        <f t="shared" ca="1" si="4"/>
        <v>0</v>
      </c>
      <c r="BL7" s="37">
        <f t="shared" ca="1" si="4"/>
        <v>0</v>
      </c>
      <c r="BM7" s="37">
        <f t="shared" ca="1" si="4"/>
        <v>0</v>
      </c>
      <c r="BN7" s="37">
        <f t="shared" ca="1" si="4"/>
        <v>0</v>
      </c>
      <c r="BO7" s="37">
        <f t="shared" ca="1" si="4"/>
        <v>0</v>
      </c>
      <c r="BP7" s="37">
        <f t="shared" ca="1" si="4"/>
        <v>0</v>
      </c>
      <c r="BQ7" s="37">
        <f t="shared" ca="1" si="4"/>
        <v>0</v>
      </c>
      <c r="BR7" s="37">
        <f t="shared" ca="1" si="4"/>
        <v>0</v>
      </c>
      <c r="BS7" s="37">
        <f t="shared" ca="1" si="4"/>
        <v>0</v>
      </c>
      <c r="BT7" s="37">
        <f t="shared" ca="1" si="4"/>
        <v>0</v>
      </c>
      <c r="BU7" s="38">
        <f t="shared" ca="1" si="4"/>
        <v>0</v>
      </c>
      <c r="BW7" s="37">
        <f t="shared" ref="BW7:CI7" ca="1" si="5">BW20-(BW33+BW46+BW59)</f>
        <v>0</v>
      </c>
      <c r="BX7" s="37">
        <f t="shared" ca="1" si="5"/>
        <v>0</v>
      </c>
      <c r="BY7" s="37">
        <f t="shared" ca="1" si="5"/>
        <v>0</v>
      </c>
      <c r="BZ7" s="37">
        <f t="shared" ca="1" si="5"/>
        <v>0</v>
      </c>
      <c r="CA7" s="37">
        <f t="shared" ca="1" si="5"/>
        <v>0</v>
      </c>
      <c r="CB7" s="37">
        <f t="shared" ca="1" si="5"/>
        <v>0</v>
      </c>
      <c r="CC7" s="37">
        <f t="shared" ca="1" si="5"/>
        <v>0</v>
      </c>
      <c r="CD7" s="37">
        <f t="shared" ca="1" si="5"/>
        <v>0</v>
      </c>
      <c r="CE7" s="37">
        <f t="shared" ca="1" si="5"/>
        <v>0</v>
      </c>
      <c r="CF7" s="37">
        <f t="shared" ca="1" si="5"/>
        <v>0</v>
      </c>
      <c r="CG7" s="37">
        <f t="shared" ca="1" si="5"/>
        <v>0</v>
      </c>
      <c r="CH7" s="37">
        <f t="shared" ca="1" si="5"/>
        <v>0</v>
      </c>
      <c r="CI7" s="38">
        <f t="shared" ca="1" si="5"/>
        <v>0</v>
      </c>
      <c r="CK7" s="37">
        <f t="shared" ref="CK7:CW7" ca="1" si="6">CK20-(CK33+CK46+CK59)</f>
        <v>0</v>
      </c>
      <c r="CL7" s="37">
        <f t="shared" ca="1" si="6"/>
        <v>0</v>
      </c>
      <c r="CM7" s="37">
        <f t="shared" ca="1" si="6"/>
        <v>0</v>
      </c>
      <c r="CN7" s="37">
        <f t="shared" ca="1" si="6"/>
        <v>0</v>
      </c>
      <c r="CO7" s="37">
        <f t="shared" ca="1" si="6"/>
        <v>0</v>
      </c>
      <c r="CP7" s="37">
        <f t="shared" ca="1" si="6"/>
        <v>0</v>
      </c>
      <c r="CQ7" s="37">
        <f t="shared" ca="1" si="6"/>
        <v>0</v>
      </c>
      <c r="CR7" s="37">
        <f t="shared" ca="1" si="6"/>
        <v>0</v>
      </c>
      <c r="CS7" s="37">
        <f t="shared" ca="1" si="6"/>
        <v>0</v>
      </c>
      <c r="CT7" s="37">
        <f t="shared" ca="1" si="6"/>
        <v>0</v>
      </c>
      <c r="CU7" s="37">
        <f t="shared" ca="1" si="6"/>
        <v>0</v>
      </c>
      <c r="CV7" s="37">
        <f t="shared" ca="1" si="6"/>
        <v>0</v>
      </c>
      <c r="CW7" s="38">
        <f t="shared" ca="1" si="6"/>
        <v>0</v>
      </c>
      <c r="CY7" s="37">
        <f t="shared" ref="CY7:DK7" ca="1" si="7">CY20-(CY33+CY46+CY59)</f>
        <v>0</v>
      </c>
      <c r="CZ7" s="37">
        <f t="shared" ca="1" si="7"/>
        <v>0</v>
      </c>
      <c r="DA7" s="37">
        <f t="shared" ca="1" si="7"/>
        <v>0</v>
      </c>
      <c r="DB7" s="37">
        <f t="shared" ca="1" si="7"/>
        <v>0</v>
      </c>
      <c r="DC7" s="37">
        <f t="shared" ca="1" si="7"/>
        <v>0</v>
      </c>
      <c r="DD7" s="37">
        <f t="shared" ca="1" si="7"/>
        <v>0</v>
      </c>
      <c r="DE7" s="37">
        <f t="shared" ca="1" si="7"/>
        <v>0</v>
      </c>
      <c r="DF7" s="37">
        <f t="shared" ca="1" si="7"/>
        <v>0</v>
      </c>
      <c r="DG7" s="37">
        <f t="shared" ca="1" si="7"/>
        <v>0</v>
      </c>
      <c r="DH7" s="37">
        <f t="shared" ca="1" si="7"/>
        <v>0</v>
      </c>
      <c r="DI7" s="37">
        <f t="shared" ca="1" si="7"/>
        <v>0</v>
      </c>
      <c r="DJ7" s="37">
        <f t="shared" ca="1" si="7"/>
        <v>0</v>
      </c>
      <c r="DK7" s="38">
        <f t="shared" ca="1" si="7"/>
        <v>0</v>
      </c>
      <c r="DM7" s="37">
        <f t="shared" ref="DM7:DY7" ca="1" si="8">DM20-(DM33+DM46+DM59)</f>
        <v>0</v>
      </c>
      <c r="DN7" s="37">
        <f t="shared" ca="1" si="8"/>
        <v>0</v>
      </c>
      <c r="DO7" s="37">
        <f t="shared" ca="1" si="8"/>
        <v>0</v>
      </c>
      <c r="DP7" s="37">
        <f t="shared" ca="1" si="8"/>
        <v>0</v>
      </c>
      <c r="DQ7" s="37">
        <f t="shared" ca="1" si="8"/>
        <v>0</v>
      </c>
      <c r="DR7" s="37">
        <f t="shared" ca="1" si="8"/>
        <v>0</v>
      </c>
      <c r="DS7" s="37">
        <f t="shared" ca="1" si="8"/>
        <v>0</v>
      </c>
      <c r="DT7" s="37">
        <f t="shared" ca="1" si="8"/>
        <v>0</v>
      </c>
      <c r="DU7" s="37">
        <f t="shared" ca="1" si="8"/>
        <v>0</v>
      </c>
      <c r="DV7" s="37">
        <f t="shared" ca="1" si="8"/>
        <v>0</v>
      </c>
      <c r="DW7" s="37">
        <f t="shared" ca="1" si="8"/>
        <v>0</v>
      </c>
      <c r="DX7" s="37">
        <f t="shared" ca="1" si="8"/>
        <v>0</v>
      </c>
      <c r="DY7" s="38">
        <f t="shared" ca="1" si="8"/>
        <v>0</v>
      </c>
      <c r="EA7" s="37">
        <f t="shared" ref="EA7:EM7" ca="1" si="9">EA20-(EA33+EA46+EA59)</f>
        <v>0</v>
      </c>
      <c r="EB7" s="37">
        <f t="shared" ca="1" si="9"/>
        <v>0</v>
      </c>
      <c r="EC7" s="37">
        <f t="shared" ca="1" si="9"/>
        <v>0</v>
      </c>
      <c r="ED7" s="37">
        <f t="shared" ca="1" si="9"/>
        <v>0</v>
      </c>
      <c r="EE7" s="37">
        <f t="shared" ca="1" si="9"/>
        <v>0</v>
      </c>
      <c r="EF7" s="37">
        <f t="shared" ca="1" si="9"/>
        <v>0</v>
      </c>
      <c r="EG7" s="37">
        <f t="shared" ca="1" si="9"/>
        <v>0</v>
      </c>
      <c r="EH7" s="37">
        <f t="shared" ca="1" si="9"/>
        <v>0</v>
      </c>
      <c r="EI7" s="37">
        <f t="shared" ca="1" si="9"/>
        <v>0</v>
      </c>
      <c r="EJ7" s="37">
        <f t="shared" ca="1" si="9"/>
        <v>0</v>
      </c>
      <c r="EK7" s="37">
        <f t="shared" ca="1" si="9"/>
        <v>0</v>
      </c>
      <c r="EL7" s="37">
        <f t="shared" ca="1" si="9"/>
        <v>0</v>
      </c>
      <c r="EM7" s="38">
        <f t="shared" ca="1" si="9"/>
        <v>0</v>
      </c>
      <c r="EO7" s="37">
        <f t="shared" ref="EO7:FA7" ca="1" si="10">EO20-(EO33+EO46+EO59)</f>
        <v>0</v>
      </c>
      <c r="EP7" s="37">
        <f t="shared" ca="1" si="10"/>
        <v>0</v>
      </c>
      <c r="EQ7" s="37">
        <f t="shared" ca="1" si="10"/>
        <v>0</v>
      </c>
      <c r="ER7" s="37">
        <f t="shared" ca="1" si="10"/>
        <v>0</v>
      </c>
      <c r="ES7" s="37">
        <f t="shared" ca="1" si="10"/>
        <v>0</v>
      </c>
      <c r="ET7" s="37">
        <f t="shared" ca="1" si="10"/>
        <v>0</v>
      </c>
      <c r="EU7" s="37">
        <f t="shared" ca="1" si="10"/>
        <v>0</v>
      </c>
      <c r="EV7" s="37">
        <f t="shared" ca="1" si="10"/>
        <v>0</v>
      </c>
      <c r="EW7" s="37">
        <f t="shared" ca="1" si="10"/>
        <v>0</v>
      </c>
      <c r="EX7" s="37">
        <f t="shared" ca="1" si="10"/>
        <v>0</v>
      </c>
      <c r="EY7" s="37">
        <f t="shared" ca="1" si="10"/>
        <v>0</v>
      </c>
      <c r="EZ7" s="37">
        <f t="shared" ca="1" si="10"/>
        <v>0</v>
      </c>
      <c r="FA7" s="38">
        <f t="shared" ca="1" si="10"/>
        <v>0</v>
      </c>
    </row>
    <row r="9" spans="1:157" x14ac:dyDescent="0.3">
      <c r="C9" s="14" t="s">
        <v>31</v>
      </c>
      <c r="E9" s="15">
        <f>DATE(E$5,1,1)</f>
        <v>45658</v>
      </c>
      <c r="F9" s="15">
        <f>DATE(E$5,2,1)</f>
        <v>45689</v>
      </c>
      <c r="G9" s="15">
        <f>DATE(E$5,3,1)</f>
        <v>45717</v>
      </c>
      <c r="H9" s="15">
        <f>DATE(E$5,4,1)</f>
        <v>45748</v>
      </c>
      <c r="I9" s="15">
        <f>DATE(E$5,5,1)</f>
        <v>45778</v>
      </c>
      <c r="J9" s="15">
        <f>DATE(E$5,6,1)</f>
        <v>45809</v>
      </c>
      <c r="K9" s="15">
        <f>DATE(E$5,7,1)</f>
        <v>45839</v>
      </c>
      <c r="L9" s="15">
        <f>DATE(E$5,8,1)</f>
        <v>45870</v>
      </c>
      <c r="M9" s="15">
        <f>DATE(E$5,9,1)</f>
        <v>45901</v>
      </c>
      <c r="N9" s="15">
        <f>DATE(E$5,10,1)</f>
        <v>45931</v>
      </c>
      <c r="O9" s="15">
        <f>DATE(E$5,11,1)</f>
        <v>45962</v>
      </c>
      <c r="P9" s="15">
        <f>DATE(E$5,12,1)</f>
        <v>45992</v>
      </c>
      <c r="Q9" s="16">
        <f>E$5</f>
        <v>2025</v>
      </c>
      <c r="S9" s="15">
        <f>DATE(S$5,1,1)</f>
        <v>46023</v>
      </c>
      <c r="T9" s="15">
        <f>DATE(S$5,2,1)</f>
        <v>46054</v>
      </c>
      <c r="U9" s="15">
        <f>DATE(S$5,3,1)</f>
        <v>46082</v>
      </c>
      <c r="V9" s="15">
        <f>DATE(S$5,4,1)</f>
        <v>46113</v>
      </c>
      <c r="W9" s="15">
        <f>DATE(S$5,5,1)</f>
        <v>46143</v>
      </c>
      <c r="X9" s="15">
        <f>DATE(S$5,6,1)</f>
        <v>46174</v>
      </c>
      <c r="Y9" s="15">
        <f>DATE(S$5,7,1)</f>
        <v>46204</v>
      </c>
      <c r="Z9" s="15">
        <f>DATE(S$5,8,1)</f>
        <v>46235</v>
      </c>
      <c r="AA9" s="15">
        <f>DATE(S$5,9,1)</f>
        <v>46266</v>
      </c>
      <c r="AB9" s="15">
        <f>DATE(S$5,10,1)</f>
        <v>46296</v>
      </c>
      <c r="AC9" s="15">
        <f>DATE(S$5,11,1)</f>
        <v>46327</v>
      </c>
      <c r="AD9" s="15">
        <f>DATE(S$5,12,1)</f>
        <v>46357</v>
      </c>
      <c r="AE9" s="16">
        <f>S$5</f>
        <v>2026</v>
      </c>
      <c r="AG9" s="15">
        <f>DATE(AG$5,1,1)</f>
        <v>46388</v>
      </c>
      <c r="AH9" s="15">
        <f>DATE(AG$5,2,1)</f>
        <v>46419</v>
      </c>
      <c r="AI9" s="15">
        <f>DATE(AG$5,3,1)</f>
        <v>46447</v>
      </c>
      <c r="AJ9" s="15">
        <f>DATE(AG$5,4,1)</f>
        <v>46478</v>
      </c>
      <c r="AK9" s="15">
        <f>DATE(AG$5,5,1)</f>
        <v>46508</v>
      </c>
      <c r="AL9" s="15">
        <f>DATE(AG$5,6,1)</f>
        <v>46539</v>
      </c>
      <c r="AM9" s="15">
        <f>DATE(AG$5,7,1)</f>
        <v>46569</v>
      </c>
      <c r="AN9" s="15">
        <f>DATE(AG$5,8,1)</f>
        <v>46600</v>
      </c>
      <c r="AO9" s="15">
        <f>DATE(AG$5,9,1)</f>
        <v>46631</v>
      </c>
      <c r="AP9" s="15">
        <f>DATE(AG$5,10,1)</f>
        <v>46661</v>
      </c>
      <c r="AQ9" s="15">
        <f>DATE(AG$5,11,1)</f>
        <v>46692</v>
      </c>
      <c r="AR9" s="15">
        <f>DATE(AG$5,12,1)</f>
        <v>46722</v>
      </c>
      <c r="AS9" s="16">
        <f>AG$5</f>
        <v>2027</v>
      </c>
      <c r="AU9" s="15">
        <f>DATE(AU$5,1,1)</f>
        <v>46753</v>
      </c>
      <c r="AV9" s="15">
        <f>DATE(AU$5,2,1)</f>
        <v>46784</v>
      </c>
      <c r="AW9" s="15">
        <f>DATE(AU$5,3,1)</f>
        <v>46813</v>
      </c>
      <c r="AX9" s="15">
        <f>DATE(AU$5,4,1)</f>
        <v>46844</v>
      </c>
      <c r="AY9" s="15">
        <f>DATE(AU$5,5,1)</f>
        <v>46874</v>
      </c>
      <c r="AZ9" s="15">
        <f>DATE(AU$5,6,1)</f>
        <v>46905</v>
      </c>
      <c r="BA9" s="15">
        <f>DATE(AU$5,7,1)</f>
        <v>46935</v>
      </c>
      <c r="BB9" s="15">
        <f>DATE(AU$5,8,1)</f>
        <v>46966</v>
      </c>
      <c r="BC9" s="15">
        <f>DATE(AU$5,9,1)</f>
        <v>46997</v>
      </c>
      <c r="BD9" s="15">
        <f>DATE(AU$5,10,1)</f>
        <v>47027</v>
      </c>
      <c r="BE9" s="15">
        <f>DATE(AU$5,11,1)</f>
        <v>47058</v>
      </c>
      <c r="BF9" s="15">
        <f>DATE(AU$5,12,1)</f>
        <v>47088</v>
      </c>
      <c r="BG9" s="16">
        <f>AU$5</f>
        <v>2028</v>
      </c>
      <c r="BI9" s="15">
        <f>DATE(BI$5,1,1)</f>
        <v>47119</v>
      </c>
      <c r="BJ9" s="15">
        <f>DATE(BI$5,2,1)</f>
        <v>47150</v>
      </c>
      <c r="BK9" s="15">
        <f>DATE(BI$5,3,1)</f>
        <v>47178</v>
      </c>
      <c r="BL9" s="15">
        <f>DATE(BI$5,4,1)</f>
        <v>47209</v>
      </c>
      <c r="BM9" s="15">
        <f>DATE(BI$5,5,1)</f>
        <v>47239</v>
      </c>
      <c r="BN9" s="15">
        <f>DATE(BI$5,6,1)</f>
        <v>47270</v>
      </c>
      <c r="BO9" s="15">
        <f>DATE(BI$5,7,1)</f>
        <v>47300</v>
      </c>
      <c r="BP9" s="15">
        <f>DATE(BI$5,8,1)</f>
        <v>47331</v>
      </c>
      <c r="BQ9" s="15">
        <f>DATE(BI$5,9,1)</f>
        <v>47362</v>
      </c>
      <c r="BR9" s="15">
        <f>DATE(BI$5,10,1)</f>
        <v>47392</v>
      </c>
      <c r="BS9" s="15">
        <f>DATE(BI$5,11,1)</f>
        <v>47423</v>
      </c>
      <c r="BT9" s="15">
        <f>DATE(BI$5,12,1)</f>
        <v>47453</v>
      </c>
      <c r="BU9" s="16">
        <f>BI$5</f>
        <v>2029</v>
      </c>
      <c r="BW9" s="15">
        <f>DATE(BW$5,1,1)</f>
        <v>47484</v>
      </c>
      <c r="BX9" s="15">
        <f>DATE(BW$5,2,1)</f>
        <v>47515</v>
      </c>
      <c r="BY9" s="15">
        <f>DATE(BW$5,3,1)</f>
        <v>47543</v>
      </c>
      <c r="BZ9" s="15">
        <f>DATE(BW$5,4,1)</f>
        <v>47574</v>
      </c>
      <c r="CA9" s="15">
        <f>DATE(BW$5,5,1)</f>
        <v>47604</v>
      </c>
      <c r="CB9" s="15">
        <f>DATE(BW$5,6,1)</f>
        <v>47635</v>
      </c>
      <c r="CC9" s="15">
        <f>DATE(BW$5,7,1)</f>
        <v>47665</v>
      </c>
      <c r="CD9" s="15">
        <f>DATE(BW$5,8,1)</f>
        <v>47696</v>
      </c>
      <c r="CE9" s="15">
        <f>DATE(BW$5,9,1)</f>
        <v>47727</v>
      </c>
      <c r="CF9" s="15">
        <f>DATE(BW$5,10,1)</f>
        <v>47757</v>
      </c>
      <c r="CG9" s="15">
        <f>DATE(BW$5,11,1)</f>
        <v>47788</v>
      </c>
      <c r="CH9" s="15">
        <f>DATE(BW$5,12,1)</f>
        <v>47818</v>
      </c>
      <c r="CI9" s="16">
        <f>BW$5</f>
        <v>2030</v>
      </c>
      <c r="CK9" s="15">
        <f>DATE(CK$5,1,1)</f>
        <v>47849</v>
      </c>
      <c r="CL9" s="15">
        <f>DATE(CK$5,2,1)</f>
        <v>47880</v>
      </c>
      <c r="CM9" s="15">
        <f>DATE(CK$5,3,1)</f>
        <v>47908</v>
      </c>
      <c r="CN9" s="15">
        <f>DATE(CK$5,4,1)</f>
        <v>47939</v>
      </c>
      <c r="CO9" s="15">
        <f>DATE(CK$5,5,1)</f>
        <v>47969</v>
      </c>
      <c r="CP9" s="15">
        <f>DATE(CK$5,6,1)</f>
        <v>48000</v>
      </c>
      <c r="CQ9" s="15">
        <f>DATE(CK$5,7,1)</f>
        <v>48030</v>
      </c>
      <c r="CR9" s="15">
        <f>DATE(CK$5,8,1)</f>
        <v>48061</v>
      </c>
      <c r="CS9" s="15">
        <f>DATE(CK$5,9,1)</f>
        <v>48092</v>
      </c>
      <c r="CT9" s="15">
        <f>DATE(CK$5,10,1)</f>
        <v>48122</v>
      </c>
      <c r="CU9" s="15">
        <f>DATE(CK$5,11,1)</f>
        <v>48153</v>
      </c>
      <c r="CV9" s="15">
        <f>DATE(CK$5,12,1)</f>
        <v>48183</v>
      </c>
      <c r="CW9" s="16">
        <f>CK$5</f>
        <v>2031</v>
      </c>
      <c r="CY9" s="15">
        <f>DATE(CY$5,1,1)</f>
        <v>48214</v>
      </c>
      <c r="CZ9" s="15">
        <f>DATE(CY$5,2,1)</f>
        <v>48245</v>
      </c>
      <c r="DA9" s="15">
        <f>DATE(CY$5,3,1)</f>
        <v>48274</v>
      </c>
      <c r="DB9" s="15">
        <f>DATE(CY$5,4,1)</f>
        <v>48305</v>
      </c>
      <c r="DC9" s="15">
        <f>DATE(CY$5,5,1)</f>
        <v>48335</v>
      </c>
      <c r="DD9" s="15">
        <f>DATE(CY$5,6,1)</f>
        <v>48366</v>
      </c>
      <c r="DE9" s="15">
        <f>DATE(CY$5,7,1)</f>
        <v>48396</v>
      </c>
      <c r="DF9" s="15">
        <f>DATE(CY$5,8,1)</f>
        <v>48427</v>
      </c>
      <c r="DG9" s="15">
        <f>DATE(CY$5,9,1)</f>
        <v>48458</v>
      </c>
      <c r="DH9" s="15">
        <f>DATE(CY$5,10,1)</f>
        <v>48488</v>
      </c>
      <c r="DI9" s="15">
        <f>DATE(CY$5,11,1)</f>
        <v>48519</v>
      </c>
      <c r="DJ9" s="15">
        <f>DATE(CY$5,12,1)</f>
        <v>48549</v>
      </c>
      <c r="DK9" s="16">
        <f>CY$5</f>
        <v>2032</v>
      </c>
      <c r="DM9" s="15">
        <f>DATE(DM$5,1,1)</f>
        <v>48580</v>
      </c>
      <c r="DN9" s="15">
        <f>DATE(DM$5,2,1)</f>
        <v>48611</v>
      </c>
      <c r="DO9" s="15">
        <f>DATE(DM$5,3,1)</f>
        <v>48639</v>
      </c>
      <c r="DP9" s="15">
        <f>DATE(DM$5,4,1)</f>
        <v>48670</v>
      </c>
      <c r="DQ9" s="15">
        <f>DATE(DM$5,5,1)</f>
        <v>48700</v>
      </c>
      <c r="DR9" s="15">
        <f>DATE(DM$5,6,1)</f>
        <v>48731</v>
      </c>
      <c r="DS9" s="15">
        <f>DATE(DM$5,7,1)</f>
        <v>48761</v>
      </c>
      <c r="DT9" s="15">
        <f>DATE(DM$5,8,1)</f>
        <v>48792</v>
      </c>
      <c r="DU9" s="15">
        <f>DATE(DM$5,9,1)</f>
        <v>48823</v>
      </c>
      <c r="DV9" s="15">
        <f>DATE(DM$5,10,1)</f>
        <v>48853</v>
      </c>
      <c r="DW9" s="15">
        <f>DATE(DM$5,11,1)</f>
        <v>48884</v>
      </c>
      <c r="DX9" s="15">
        <f>DATE(DM$5,12,1)</f>
        <v>48914</v>
      </c>
      <c r="DY9" s="16">
        <f>DM$5</f>
        <v>2033</v>
      </c>
      <c r="EA9" s="15">
        <f>DATE(EA$5,1,1)</f>
        <v>48945</v>
      </c>
      <c r="EB9" s="15">
        <f>DATE(EA$5,2,1)</f>
        <v>48976</v>
      </c>
      <c r="EC9" s="15">
        <f>DATE(EA$5,3,1)</f>
        <v>49004</v>
      </c>
      <c r="ED9" s="15">
        <f>DATE(EA$5,4,1)</f>
        <v>49035</v>
      </c>
      <c r="EE9" s="15">
        <f>DATE(EA$5,5,1)</f>
        <v>49065</v>
      </c>
      <c r="EF9" s="15">
        <f>DATE(EA$5,6,1)</f>
        <v>49096</v>
      </c>
      <c r="EG9" s="15">
        <f>DATE(EA$5,7,1)</f>
        <v>49126</v>
      </c>
      <c r="EH9" s="15">
        <f>DATE(EA$5,8,1)</f>
        <v>49157</v>
      </c>
      <c r="EI9" s="15">
        <f>DATE(EA$5,9,1)</f>
        <v>49188</v>
      </c>
      <c r="EJ9" s="15">
        <f>DATE(EA$5,10,1)</f>
        <v>49218</v>
      </c>
      <c r="EK9" s="15">
        <f>DATE(EA$5,11,1)</f>
        <v>49249</v>
      </c>
      <c r="EL9" s="15">
        <f>DATE(EA$5,12,1)</f>
        <v>49279</v>
      </c>
      <c r="EM9" s="16">
        <f>EA$5</f>
        <v>2034</v>
      </c>
      <c r="EO9" s="15">
        <f>DATE(EO$5,1,1)</f>
        <v>49310</v>
      </c>
      <c r="EP9" s="15">
        <f>DATE(EO$5,2,1)</f>
        <v>49341</v>
      </c>
      <c r="EQ9" s="15">
        <f>DATE(EO$5,3,1)</f>
        <v>49369</v>
      </c>
      <c r="ER9" s="15">
        <f>DATE(EO$5,4,1)</f>
        <v>49400</v>
      </c>
      <c r="ES9" s="15">
        <f>DATE(EO$5,5,1)</f>
        <v>49430</v>
      </c>
      <c r="ET9" s="15">
        <f>DATE(EO$5,6,1)</f>
        <v>49461</v>
      </c>
      <c r="EU9" s="15">
        <f>DATE(EO$5,7,1)</f>
        <v>49491</v>
      </c>
      <c r="EV9" s="15">
        <f>DATE(EO$5,8,1)</f>
        <v>49522</v>
      </c>
      <c r="EW9" s="15">
        <f>DATE(EO$5,9,1)</f>
        <v>49553</v>
      </c>
      <c r="EX9" s="15">
        <f>DATE(EO$5,10,1)</f>
        <v>49583</v>
      </c>
      <c r="EY9" s="15">
        <f>DATE(EO$5,11,1)</f>
        <v>49614</v>
      </c>
      <c r="EZ9" s="15">
        <f>DATE(EO$5,12,1)</f>
        <v>49644</v>
      </c>
      <c r="FA9" s="16">
        <f>EO$5</f>
        <v>2035</v>
      </c>
    </row>
    <row r="10" spans="1:157" x14ac:dyDescent="0.3">
      <c r="C10" s="138" t="s">
        <v>94</v>
      </c>
      <c r="D10" s="139"/>
      <c r="E10" s="140">
        <v>1000</v>
      </c>
      <c r="F10" s="140">
        <v>1000</v>
      </c>
      <c r="G10" s="140">
        <v>1000</v>
      </c>
      <c r="H10" s="140">
        <v>1000</v>
      </c>
      <c r="I10" s="140">
        <v>1000</v>
      </c>
      <c r="J10" s="140">
        <v>1000</v>
      </c>
      <c r="K10" s="140">
        <v>1000</v>
      </c>
      <c r="L10" s="140">
        <v>1000</v>
      </c>
      <c r="M10" s="140">
        <v>1000</v>
      </c>
      <c r="N10" s="140">
        <v>1000</v>
      </c>
      <c r="O10" s="140">
        <v>1000</v>
      </c>
      <c r="P10" s="140">
        <v>1000</v>
      </c>
      <c r="Q10" s="141">
        <f t="shared" ref="Q10:Q19" si="11">SUM(E10:P10)</f>
        <v>12000</v>
      </c>
      <c r="R10" s="139"/>
      <c r="S10" s="140"/>
      <c r="T10" s="140"/>
      <c r="U10" s="140"/>
      <c r="V10" s="140"/>
      <c r="W10" s="140"/>
      <c r="X10" s="140"/>
      <c r="Y10" s="140"/>
      <c r="Z10" s="140"/>
      <c r="AA10" s="140"/>
      <c r="AB10" s="140"/>
      <c r="AC10" s="140"/>
      <c r="AD10" s="140"/>
      <c r="AE10" s="141">
        <f t="shared" ref="AE10:AE19" si="12">SUM(S10:AD10)</f>
        <v>0</v>
      </c>
      <c r="AF10" s="139"/>
      <c r="AG10" s="140"/>
      <c r="AH10" s="140"/>
      <c r="AI10" s="140"/>
      <c r="AJ10" s="140"/>
      <c r="AK10" s="140"/>
      <c r="AL10" s="140"/>
      <c r="AM10" s="140"/>
      <c r="AN10" s="140"/>
      <c r="AO10" s="140"/>
      <c r="AP10" s="140"/>
      <c r="AQ10" s="140"/>
      <c r="AR10" s="140"/>
      <c r="AS10" s="141">
        <f t="shared" ref="AS10:AS19" si="13">SUM(AG10:AR10)</f>
        <v>0</v>
      </c>
      <c r="AT10" s="139"/>
      <c r="AU10" s="140"/>
      <c r="AV10" s="140"/>
      <c r="AW10" s="140"/>
      <c r="AX10" s="140"/>
      <c r="AY10" s="140"/>
      <c r="AZ10" s="140"/>
      <c r="BA10" s="140"/>
      <c r="BB10" s="140"/>
      <c r="BC10" s="140"/>
      <c r="BD10" s="140"/>
      <c r="BE10" s="140"/>
      <c r="BF10" s="140"/>
      <c r="BG10" s="141">
        <f t="shared" ref="BG10:BG19" si="14">SUM(AU10:BF10)</f>
        <v>0</v>
      </c>
      <c r="BH10" s="139"/>
      <c r="BI10" s="140"/>
      <c r="BJ10" s="140"/>
      <c r="BK10" s="140"/>
      <c r="BL10" s="140"/>
      <c r="BM10" s="140"/>
      <c r="BN10" s="140"/>
      <c r="BO10" s="140"/>
      <c r="BP10" s="140"/>
      <c r="BQ10" s="140"/>
      <c r="BR10" s="140"/>
      <c r="BS10" s="140"/>
      <c r="BT10" s="140"/>
      <c r="BU10" s="141">
        <f t="shared" ref="BU10:BU19" si="15">SUM(BI10:BT10)</f>
        <v>0</v>
      </c>
      <c r="BV10" s="139"/>
      <c r="BW10" s="140"/>
      <c r="BX10" s="140"/>
      <c r="BY10" s="140"/>
      <c r="BZ10" s="140"/>
      <c r="CA10" s="140"/>
      <c r="CB10" s="140"/>
      <c r="CC10" s="140"/>
      <c r="CD10" s="140"/>
      <c r="CE10" s="140"/>
      <c r="CF10" s="140"/>
      <c r="CG10" s="140"/>
      <c r="CH10" s="140"/>
      <c r="CI10" s="141">
        <f t="shared" ref="CI10:CI19" si="16">SUM(BW10:CH10)</f>
        <v>0</v>
      </c>
      <c r="CJ10" s="139"/>
      <c r="CK10" s="140"/>
      <c r="CL10" s="140"/>
      <c r="CM10" s="140"/>
      <c r="CN10" s="140"/>
      <c r="CO10" s="140"/>
      <c r="CP10" s="140"/>
      <c r="CQ10" s="140"/>
      <c r="CR10" s="140"/>
      <c r="CS10" s="140"/>
      <c r="CT10" s="140"/>
      <c r="CU10" s="140"/>
      <c r="CV10" s="140"/>
      <c r="CW10" s="141">
        <f t="shared" ref="CW10:CW19" si="17">SUM(CK10:CV10)</f>
        <v>0</v>
      </c>
      <c r="CX10" s="139"/>
      <c r="CY10" s="140"/>
      <c r="CZ10" s="140"/>
      <c r="DA10" s="140"/>
      <c r="DB10" s="140"/>
      <c r="DC10" s="140"/>
      <c r="DD10" s="140"/>
      <c r="DE10" s="140"/>
      <c r="DF10" s="140"/>
      <c r="DG10" s="140"/>
      <c r="DH10" s="140"/>
      <c r="DI10" s="140"/>
      <c r="DJ10" s="140"/>
      <c r="DK10" s="141">
        <f t="shared" ref="DK10:DK19" si="18">SUM(CY10:DJ10)</f>
        <v>0</v>
      </c>
      <c r="DL10" s="139"/>
      <c r="DM10" s="140"/>
      <c r="DN10" s="140"/>
      <c r="DO10" s="140"/>
      <c r="DP10" s="140"/>
      <c r="DQ10" s="140"/>
      <c r="DR10" s="140"/>
      <c r="DS10" s="140"/>
      <c r="DT10" s="140"/>
      <c r="DU10" s="140"/>
      <c r="DV10" s="140"/>
      <c r="DW10" s="140"/>
      <c r="DX10" s="140"/>
      <c r="DY10" s="141">
        <f t="shared" ref="DY10:DY19" si="19">SUM(DM10:DX10)</f>
        <v>0</v>
      </c>
      <c r="DZ10" s="139"/>
      <c r="EA10" s="140"/>
      <c r="EB10" s="140"/>
      <c r="EC10" s="140"/>
      <c r="ED10" s="140"/>
      <c r="EE10" s="140"/>
      <c r="EF10" s="140"/>
      <c r="EG10" s="140"/>
      <c r="EH10" s="140"/>
      <c r="EI10" s="140"/>
      <c r="EJ10" s="140"/>
      <c r="EK10" s="140"/>
      <c r="EL10" s="140"/>
      <c r="EM10" s="141">
        <f t="shared" ref="EM10:EM19" si="20">SUM(EA10:EL10)</f>
        <v>0</v>
      </c>
      <c r="EN10" s="139"/>
      <c r="EO10" s="140"/>
      <c r="EP10" s="140"/>
      <c r="EQ10" s="140"/>
      <c r="ER10" s="140"/>
      <c r="ES10" s="140"/>
      <c r="ET10" s="140"/>
      <c r="EU10" s="140"/>
      <c r="EV10" s="140"/>
      <c r="EW10" s="140"/>
      <c r="EX10" s="140"/>
      <c r="EY10" s="140"/>
      <c r="EZ10" s="140"/>
      <c r="FA10" s="141">
        <f t="shared" ref="FA10:FA19" si="21">SUM(EO10:EZ10)</f>
        <v>0</v>
      </c>
    </row>
    <row r="11" spans="1:157" x14ac:dyDescent="0.3">
      <c r="C11" s="138" t="s">
        <v>98</v>
      </c>
      <c r="D11" s="139"/>
      <c r="E11" s="140">
        <v>200</v>
      </c>
      <c r="F11" s="140">
        <v>200</v>
      </c>
      <c r="G11" s="140"/>
      <c r="H11" s="140">
        <v>200</v>
      </c>
      <c r="I11" s="140">
        <v>200</v>
      </c>
      <c r="J11" s="140"/>
      <c r="K11" s="140">
        <v>200</v>
      </c>
      <c r="L11" s="140">
        <v>200</v>
      </c>
      <c r="M11" s="140"/>
      <c r="N11" s="140">
        <v>200</v>
      </c>
      <c r="O11" s="140">
        <v>200</v>
      </c>
      <c r="P11" s="140"/>
      <c r="Q11" s="141">
        <f t="shared" si="11"/>
        <v>1600</v>
      </c>
      <c r="R11" s="139"/>
      <c r="S11" s="140"/>
      <c r="T11" s="140"/>
      <c r="U11" s="140"/>
      <c r="V11" s="140"/>
      <c r="W11" s="140"/>
      <c r="X11" s="140"/>
      <c r="Y11" s="140"/>
      <c r="Z11" s="140"/>
      <c r="AA11" s="140"/>
      <c r="AB11" s="140"/>
      <c r="AC11" s="140"/>
      <c r="AD11" s="140"/>
      <c r="AE11" s="141">
        <f t="shared" si="12"/>
        <v>0</v>
      </c>
      <c r="AF11" s="139"/>
      <c r="AG11" s="140"/>
      <c r="AH11" s="140"/>
      <c r="AI11" s="140"/>
      <c r="AJ11" s="140"/>
      <c r="AK11" s="140"/>
      <c r="AL11" s="140"/>
      <c r="AM11" s="140"/>
      <c r="AN11" s="140"/>
      <c r="AO11" s="140"/>
      <c r="AP11" s="140"/>
      <c r="AQ11" s="140"/>
      <c r="AR11" s="140"/>
      <c r="AS11" s="141">
        <f t="shared" si="13"/>
        <v>0</v>
      </c>
      <c r="AT11" s="139"/>
      <c r="AU11" s="140"/>
      <c r="AV11" s="140"/>
      <c r="AW11" s="140"/>
      <c r="AX11" s="140"/>
      <c r="AY11" s="140"/>
      <c r="AZ11" s="140"/>
      <c r="BA11" s="140"/>
      <c r="BB11" s="140"/>
      <c r="BC11" s="140"/>
      <c r="BD11" s="140"/>
      <c r="BE11" s="140"/>
      <c r="BF11" s="140"/>
      <c r="BG11" s="141">
        <f t="shared" si="14"/>
        <v>0</v>
      </c>
      <c r="BH11" s="139"/>
      <c r="BI11" s="140"/>
      <c r="BJ11" s="140"/>
      <c r="BK11" s="140"/>
      <c r="BL11" s="140"/>
      <c r="BM11" s="140"/>
      <c r="BN11" s="140"/>
      <c r="BO11" s="140"/>
      <c r="BP11" s="140"/>
      <c r="BQ11" s="140"/>
      <c r="BR11" s="140"/>
      <c r="BS11" s="140"/>
      <c r="BT11" s="140"/>
      <c r="BU11" s="141">
        <f t="shared" si="15"/>
        <v>0</v>
      </c>
      <c r="BV11" s="139"/>
      <c r="BW11" s="140"/>
      <c r="BX11" s="140"/>
      <c r="BY11" s="140"/>
      <c r="BZ11" s="140"/>
      <c r="CA11" s="140"/>
      <c r="CB11" s="140"/>
      <c r="CC11" s="140"/>
      <c r="CD11" s="140"/>
      <c r="CE11" s="140"/>
      <c r="CF11" s="140"/>
      <c r="CG11" s="140"/>
      <c r="CH11" s="140"/>
      <c r="CI11" s="141">
        <f t="shared" si="16"/>
        <v>0</v>
      </c>
      <c r="CJ11" s="139"/>
      <c r="CK11" s="140"/>
      <c r="CL11" s="140"/>
      <c r="CM11" s="140"/>
      <c r="CN11" s="140"/>
      <c r="CO11" s="140"/>
      <c r="CP11" s="140"/>
      <c r="CQ11" s="140"/>
      <c r="CR11" s="140"/>
      <c r="CS11" s="140"/>
      <c r="CT11" s="140"/>
      <c r="CU11" s="140"/>
      <c r="CV11" s="140"/>
      <c r="CW11" s="141">
        <f t="shared" si="17"/>
        <v>0</v>
      </c>
      <c r="CX11" s="139"/>
      <c r="CY11" s="140"/>
      <c r="CZ11" s="140"/>
      <c r="DA11" s="140"/>
      <c r="DB11" s="140"/>
      <c r="DC11" s="140"/>
      <c r="DD11" s="140"/>
      <c r="DE11" s="140"/>
      <c r="DF11" s="140"/>
      <c r="DG11" s="140"/>
      <c r="DH11" s="140"/>
      <c r="DI11" s="140"/>
      <c r="DJ11" s="140"/>
      <c r="DK11" s="141">
        <f t="shared" si="18"/>
        <v>0</v>
      </c>
      <c r="DL11" s="139"/>
      <c r="DM11" s="140"/>
      <c r="DN11" s="140"/>
      <c r="DO11" s="140"/>
      <c r="DP11" s="140"/>
      <c r="DQ11" s="140"/>
      <c r="DR11" s="140"/>
      <c r="DS11" s="140"/>
      <c r="DT11" s="140"/>
      <c r="DU11" s="140"/>
      <c r="DV11" s="140"/>
      <c r="DW11" s="140"/>
      <c r="DX11" s="140"/>
      <c r="DY11" s="141">
        <f t="shared" si="19"/>
        <v>0</v>
      </c>
      <c r="DZ11" s="139"/>
      <c r="EA11" s="140"/>
      <c r="EB11" s="140"/>
      <c r="EC11" s="140"/>
      <c r="ED11" s="140"/>
      <c r="EE11" s="140"/>
      <c r="EF11" s="140"/>
      <c r="EG11" s="140"/>
      <c r="EH11" s="140"/>
      <c r="EI11" s="140"/>
      <c r="EJ11" s="140"/>
      <c r="EK11" s="140"/>
      <c r="EL11" s="140"/>
      <c r="EM11" s="141">
        <f t="shared" si="20"/>
        <v>0</v>
      </c>
      <c r="EN11" s="139"/>
      <c r="EO11" s="140"/>
      <c r="EP11" s="140"/>
      <c r="EQ11" s="140"/>
      <c r="ER11" s="140"/>
      <c r="ES11" s="140"/>
      <c r="ET11" s="140"/>
      <c r="EU11" s="140"/>
      <c r="EV11" s="140"/>
      <c r="EW11" s="140"/>
      <c r="EX11" s="140"/>
      <c r="EY11" s="140"/>
      <c r="EZ11" s="140"/>
      <c r="FA11" s="141">
        <f t="shared" si="21"/>
        <v>0</v>
      </c>
    </row>
    <row r="12" spans="1:157" x14ac:dyDescent="0.3">
      <c r="C12" s="138" t="s">
        <v>99</v>
      </c>
      <c r="D12" s="139"/>
      <c r="E12" s="140">
        <v>10</v>
      </c>
      <c r="F12" s="140">
        <v>10</v>
      </c>
      <c r="G12" s="140">
        <v>10</v>
      </c>
      <c r="H12" s="140">
        <v>10</v>
      </c>
      <c r="I12" s="140">
        <v>10</v>
      </c>
      <c r="J12" s="140">
        <v>10</v>
      </c>
      <c r="K12" s="140">
        <v>10</v>
      </c>
      <c r="L12" s="140">
        <v>10</v>
      </c>
      <c r="M12" s="140">
        <v>10</v>
      </c>
      <c r="N12" s="140">
        <v>10</v>
      </c>
      <c r="O12" s="140">
        <v>10</v>
      </c>
      <c r="P12" s="140">
        <v>10</v>
      </c>
      <c r="Q12" s="141">
        <f t="shared" si="11"/>
        <v>120</v>
      </c>
      <c r="R12" s="139"/>
      <c r="S12" s="140"/>
      <c r="T12" s="140"/>
      <c r="U12" s="140"/>
      <c r="V12" s="140"/>
      <c r="W12" s="140"/>
      <c r="X12" s="140"/>
      <c r="Y12" s="140"/>
      <c r="Z12" s="140"/>
      <c r="AA12" s="140"/>
      <c r="AB12" s="140"/>
      <c r="AC12" s="140"/>
      <c r="AD12" s="140"/>
      <c r="AE12" s="141">
        <f t="shared" si="12"/>
        <v>0</v>
      </c>
      <c r="AF12" s="139"/>
      <c r="AG12" s="140"/>
      <c r="AH12" s="140"/>
      <c r="AI12" s="140"/>
      <c r="AJ12" s="140"/>
      <c r="AK12" s="140"/>
      <c r="AL12" s="140"/>
      <c r="AM12" s="140"/>
      <c r="AN12" s="140"/>
      <c r="AO12" s="140"/>
      <c r="AP12" s="140"/>
      <c r="AQ12" s="140"/>
      <c r="AR12" s="140"/>
      <c r="AS12" s="141">
        <f t="shared" si="13"/>
        <v>0</v>
      </c>
      <c r="AT12" s="139"/>
      <c r="AU12" s="140"/>
      <c r="AV12" s="140"/>
      <c r="AW12" s="140"/>
      <c r="AX12" s="140"/>
      <c r="AY12" s="140"/>
      <c r="AZ12" s="140"/>
      <c r="BA12" s="140"/>
      <c r="BB12" s="140"/>
      <c r="BC12" s="140"/>
      <c r="BD12" s="140"/>
      <c r="BE12" s="140"/>
      <c r="BF12" s="140"/>
      <c r="BG12" s="141">
        <f t="shared" si="14"/>
        <v>0</v>
      </c>
      <c r="BH12" s="139"/>
      <c r="BI12" s="140"/>
      <c r="BJ12" s="140"/>
      <c r="BK12" s="140"/>
      <c r="BL12" s="140"/>
      <c r="BM12" s="140"/>
      <c r="BN12" s="140"/>
      <c r="BO12" s="140"/>
      <c r="BP12" s="140"/>
      <c r="BQ12" s="140"/>
      <c r="BR12" s="140"/>
      <c r="BS12" s="140"/>
      <c r="BT12" s="140"/>
      <c r="BU12" s="141">
        <f t="shared" si="15"/>
        <v>0</v>
      </c>
      <c r="BV12" s="139"/>
      <c r="BW12" s="140"/>
      <c r="BX12" s="140"/>
      <c r="BY12" s="140"/>
      <c r="BZ12" s="140"/>
      <c r="CA12" s="140"/>
      <c r="CB12" s="140"/>
      <c r="CC12" s="140"/>
      <c r="CD12" s="140"/>
      <c r="CE12" s="140"/>
      <c r="CF12" s="140"/>
      <c r="CG12" s="140"/>
      <c r="CH12" s="140"/>
      <c r="CI12" s="141">
        <f t="shared" si="16"/>
        <v>0</v>
      </c>
      <c r="CJ12" s="139"/>
      <c r="CK12" s="140"/>
      <c r="CL12" s="140"/>
      <c r="CM12" s="140"/>
      <c r="CN12" s="140"/>
      <c r="CO12" s="140"/>
      <c r="CP12" s="140"/>
      <c r="CQ12" s="140"/>
      <c r="CR12" s="140"/>
      <c r="CS12" s="140"/>
      <c r="CT12" s="140"/>
      <c r="CU12" s="140"/>
      <c r="CV12" s="140"/>
      <c r="CW12" s="141">
        <f t="shared" si="17"/>
        <v>0</v>
      </c>
      <c r="CX12" s="139"/>
      <c r="CY12" s="140"/>
      <c r="CZ12" s="140"/>
      <c r="DA12" s="140"/>
      <c r="DB12" s="140"/>
      <c r="DC12" s="140"/>
      <c r="DD12" s="140"/>
      <c r="DE12" s="140"/>
      <c r="DF12" s="140"/>
      <c r="DG12" s="140"/>
      <c r="DH12" s="140"/>
      <c r="DI12" s="140"/>
      <c r="DJ12" s="140"/>
      <c r="DK12" s="141">
        <f t="shared" si="18"/>
        <v>0</v>
      </c>
      <c r="DL12" s="139"/>
      <c r="DM12" s="140"/>
      <c r="DN12" s="140"/>
      <c r="DO12" s="140"/>
      <c r="DP12" s="140"/>
      <c r="DQ12" s="140"/>
      <c r="DR12" s="140"/>
      <c r="DS12" s="140"/>
      <c r="DT12" s="140"/>
      <c r="DU12" s="140"/>
      <c r="DV12" s="140"/>
      <c r="DW12" s="140"/>
      <c r="DX12" s="140"/>
      <c r="DY12" s="141">
        <f t="shared" si="19"/>
        <v>0</v>
      </c>
      <c r="DZ12" s="139"/>
      <c r="EA12" s="140"/>
      <c r="EB12" s="140"/>
      <c r="EC12" s="140"/>
      <c r="ED12" s="140"/>
      <c r="EE12" s="140"/>
      <c r="EF12" s="140"/>
      <c r="EG12" s="140"/>
      <c r="EH12" s="140"/>
      <c r="EI12" s="140"/>
      <c r="EJ12" s="140"/>
      <c r="EK12" s="140"/>
      <c r="EL12" s="140"/>
      <c r="EM12" s="141">
        <f t="shared" si="20"/>
        <v>0</v>
      </c>
      <c r="EN12" s="139"/>
      <c r="EO12" s="140"/>
      <c r="EP12" s="140"/>
      <c r="EQ12" s="140"/>
      <c r="ER12" s="140"/>
      <c r="ES12" s="140"/>
      <c r="ET12" s="140"/>
      <c r="EU12" s="140"/>
      <c r="EV12" s="140"/>
      <c r="EW12" s="140"/>
      <c r="EX12" s="140"/>
      <c r="EY12" s="140"/>
      <c r="EZ12" s="140"/>
      <c r="FA12" s="141">
        <f t="shared" si="21"/>
        <v>0</v>
      </c>
    </row>
    <row r="13" spans="1:157" hidden="1" x14ac:dyDescent="0.3">
      <c r="C13" s="18" t="s">
        <v>100</v>
      </c>
      <c r="E13" s="19">
        <v>1000</v>
      </c>
      <c r="F13" s="19"/>
      <c r="G13" s="19"/>
      <c r="H13" s="19"/>
      <c r="I13" s="19"/>
      <c r="J13" s="19"/>
      <c r="K13" s="19"/>
      <c r="L13" s="19"/>
      <c r="M13" s="19"/>
      <c r="N13" s="19"/>
      <c r="O13" s="19"/>
      <c r="P13" s="19"/>
      <c r="Q13" s="21">
        <f t="shared" si="11"/>
        <v>1000</v>
      </c>
      <c r="S13" s="19"/>
      <c r="T13" s="19"/>
      <c r="U13" s="19"/>
      <c r="V13" s="19"/>
      <c r="W13" s="19"/>
      <c r="X13" s="19"/>
      <c r="Y13" s="19"/>
      <c r="Z13" s="19"/>
      <c r="AA13" s="19"/>
      <c r="AB13" s="19"/>
      <c r="AC13" s="19"/>
      <c r="AD13" s="19"/>
      <c r="AE13" s="21">
        <f t="shared" si="12"/>
        <v>0</v>
      </c>
      <c r="AG13" s="19"/>
      <c r="AH13" s="19"/>
      <c r="AI13" s="19"/>
      <c r="AJ13" s="19"/>
      <c r="AK13" s="19"/>
      <c r="AL13" s="19"/>
      <c r="AM13" s="19"/>
      <c r="AN13" s="19"/>
      <c r="AO13" s="19"/>
      <c r="AP13" s="19"/>
      <c r="AQ13" s="19"/>
      <c r="AR13" s="19"/>
      <c r="AS13" s="21">
        <f t="shared" si="13"/>
        <v>0</v>
      </c>
      <c r="AU13" s="19"/>
      <c r="AV13" s="19"/>
      <c r="AW13" s="19"/>
      <c r="AX13" s="19"/>
      <c r="AY13" s="19"/>
      <c r="AZ13" s="19"/>
      <c r="BA13" s="19"/>
      <c r="BB13" s="19"/>
      <c r="BC13" s="19"/>
      <c r="BD13" s="19"/>
      <c r="BE13" s="19"/>
      <c r="BF13" s="19"/>
      <c r="BG13" s="21">
        <f t="shared" si="14"/>
        <v>0</v>
      </c>
      <c r="BI13" s="19"/>
      <c r="BJ13" s="19"/>
      <c r="BK13" s="19"/>
      <c r="BL13" s="19"/>
      <c r="BM13" s="19"/>
      <c r="BN13" s="19"/>
      <c r="BO13" s="19"/>
      <c r="BP13" s="19"/>
      <c r="BQ13" s="19"/>
      <c r="BR13" s="19"/>
      <c r="BS13" s="19"/>
      <c r="BT13" s="19"/>
      <c r="BU13" s="21">
        <f t="shared" si="15"/>
        <v>0</v>
      </c>
      <c r="BW13" s="19"/>
      <c r="BX13" s="19"/>
      <c r="BY13" s="19"/>
      <c r="BZ13" s="19"/>
      <c r="CA13" s="19"/>
      <c r="CB13" s="19"/>
      <c r="CC13" s="19"/>
      <c r="CD13" s="19"/>
      <c r="CE13" s="19"/>
      <c r="CF13" s="19"/>
      <c r="CG13" s="19"/>
      <c r="CH13" s="19"/>
      <c r="CI13" s="21">
        <f t="shared" si="16"/>
        <v>0</v>
      </c>
      <c r="CK13" s="19"/>
      <c r="CL13" s="19"/>
      <c r="CM13" s="19"/>
      <c r="CN13" s="19"/>
      <c r="CO13" s="19"/>
      <c r="CP13" s="19"/>
      <c r="CQ13" s="19"/>
      <c r="CR13" s="19"/>
      <c r="CS13" s="19"/>
      <c r="CT13" s="19"/>
      <c r="CU13" s="19"/>
      <c r="CV13" s="19"/>
      <c r="CW13" s="21">
        <f t="shared" si="17"/>
        <v>0</v>
      </c>
      <c r="CY13" s="19"/>
      <c r="CZ13" s="19"/>
      <c r="DA13" s="19"/>
      <c r="DB13" s="19"/>
      <c r="DC13" s="19"/>
      <c r="DD13" s="19"/>
      <c r="DE13" s="19"/>
      <c r="DF13" s="19"/>
      <c r="DG13" s="19"/>
      <c r="DH13" s="19"/>
      <c r="DI13" s="19"/>
      <c r="DJ13" s="19"/>
      <c r="DK13" s="21">
        <f t="shared" si="18"/>
        <v>0</v>
      </c>
      <c r="DM13" s="19"/>
      <c r="DN13" s="19"/>
      <c r="DO13" s="19"/>
      <c r="DP13" s="19"/>
      <c r="DQ13" s="19"/>
      <c r="DR13" s="19"/>
      <c r="DS13" s="19"/>
      <c r="DT13" s="19"/>
      <c r="DU13" s="19"/>
      <c r="DV13" s="19"/>
      <c r="DW13" s="19"/>
      <c r="DX13" s="19"/>
      <c r="DY13" s="21">
        <f t="shared" si="19"/>
        <v>0</v>
      </c>
      <c r="EA13" s="19"/>
      <c r="EB13" s="19"/>
      <c r="EC13" s="19"/>
      <c r="ED13" s="19"/>
      <c r="EE13" s="19"/>
      <c r="EF13" s="19"/>
      <c r="EG13" s="19"/>
      <c r="EH13" s="19"/>
      <c r="EI13" s="19"/>
      <c r="EJ13" s="19"/>
      <c r="EK13" s="19"/>
      <c r="EL13" s="19"/>
      <c r="EM13" s="21">
        <f t="shared" si="20"/>
        <v>0</v>
      </c>
      <c r="EO13" s="19"/>
      <c r="EP13" s="19"/>
      <c r="EQ13" s="19"/>
      <c r="ER13" s="19"/>
      <c r="ES13" s="19"/>
      <c r="ET13" s="19"/>
      <c r="EU13" s="19"/>
      <c r="EV13" s="19"/>
      <c r="EW13" s="19"/>
      <c r="EX13" s="19"/>
      <c r="EY13" s="19"/>
      <c r="EZ13" s="19"/>
      <c r="FA13" s="21">
        <f t="shared" si="21"/>
        <v>0</v>
      </c>
    </row>
    <row r="14" spans="1:157" hidden="1" x14ac:dyDescent="0.3">
      <c r="C14" s="18" t="s">
        <v>100</v>
      </c>
      <c r="E14" s="19">
        <v>1000</v>
      </c>
      <c r="F14" s="19"/>
      <c r="G14" s="19"/>
      <c r="H14" s="19"/>
      <c r="I14" s="19"/>
      <c r="J14" s="19"/>
      <c r="K14" s="19"/>
      <c r="L14" s="19"/>
      <c r="M14" s="19"/>
      <c r="N14" s="19"/>
      <c r="O14" s="19"/>
      <c r="P14" s="19"/>
      <c r="Q14" s="21">
        <f t="shared" si="11"/>
        <v>1000</v>
      </c>
      <c r="S14" s="19"/>
      <c r="T14" s="19"/>
      <c r="U14" s="19"/>
      <c r="V14" s="19"/>
      <c r="W14" s="19"/>
      <c r="X14" s="19"/>
      <c r="Y14" s="19"/>
      <c r="Z14" s="19"/>
      <c r="AA14" s="19"/>
      <c r="AB14" s="19"/>
      <c r="AC14" s="19"/>
      <c r="AD14" s="19"/>
      <c r="AE14" s="21">
        <f t="shared" si="12"/>
        <v>0</v>
      </c>
      <c r="AG14" s="19"/>
      <c r="AH14" s="19"/>
      <c r="AI14" s="19"/>
      <c r="AJ14" s="19"/>
      <c r="AK14" s="19"/>
      <c r="AL14" s="19"/>
      <c r="AM14" s="19"/>
      <c r="AN14" s="19"/>
      <c r="AO14" s="19"/>
      <c r="AP14" s="19"/>
      <c r="AQ14" s="19"/>
      <c r="AR14" s="19"/>
      <c r="AS14" s="21">
        <f t="shared" si="13"/>
        <v>0</v>
      </c>
      <c r="AU14" s="19"/>
      <c r="AV14" s="19"/>
      <c r="AW14" s="19"/>
      <c r="AX14" s="19"/>
      <c r="AY14" s="19"/>
      <c r="AZ14" s="19"/>
      <c r="BA14" s="19"/>
      <c r="BB14" s="19"/>
      <c r="BC14" s="19"/>
      <c r="BD14" s="19"/>
      <c r="BE14" s="19"/>
      <c r="BF14" s="19"/>
      <c r="BG14" s="21">
        <f t="shared" si="14"/>
        <v>0</v>
      </c>
      <c r="BI14" s="19"/>
      <c r="BJ14" s="19"/>
      <c r="BK14" s="19"/>
      <c r="BL14" s="19"/>
      <c r="BM14" s="19"/>
      <c r="BN14" s="19"/>
      <c r="BO14" s="19"/>
      <c r="BP14" s="19"/>
      <c r="BQ14" s="19"/>
      <c r="BR14" s="19"/>
      <c r="BS14" s="19"/>
      <c r="BT14" s="19"/>
      <c r="BU14" s="21">
        <f t="shared" si="15"/>
        <v>0</v>
      </c>
      <c r="BW14" s="19"/>
      <c r="BX14" s="19"/>
      <c r="BY14" s="19"/>
      <c r="BZ14" s="19"/>
      <c r="CA14" s="19"/>
      <c r="CB14" s="19"/>
      <c r="CC14" s="19"/>
      <c r="CD14" s="19"/>
      <c r="CE14" s="19"/>
      <c r="CF14" s="19"/>
      <c r="CG14" s="19"/>
      <c r="CH14" s="19"/>
      <c r="CI14" s="21">
        <f t="shared" si="16"/>
        <v>0</v>
      </c>
      <c r="CK14" s="19"/>
      <c r="CL14" s="19"/>
      <c r="CM14" s="19"/>
      <c r="CN14" s="19"/>
      <c r="CO14" s="19"/>
      <c r="CP14" s="19"/>
      <c r="CQ14" s="19"/>
      <c r="CR14" s="19"/>
      <c r="CS14" s="19"/>
      <c r="CT14" s="19"/>
      <c r="CU14" s="19"/>
      <c r="CV14" s="19"/>
      <c r="CW14" s="21">
        <f t="shared" si="17"/>
        <v>0</v>
      </c>
      <c r="CY14" s="19"/>
      <c r="CZ14" s="19"/>
      <c r="DA14" s="19"/>
      <c r="DB14" s="19"/>
      <c r="DC14" s="19"/>
      <c r="DD14" s="19"/>
      <c r="DE14" s="19"/>
      <c r="DF14" s="19"/>
      <c r="DG14" s="19"/>
      <c r="DH14" s="19"/>
      <c r="DI14" s="19"/>
      <c r="DJ14" s="19"/>
      <c r="DK14" s="21">
        <f t="shared" si="18"/>
        <v>0</v>
      </c>
      <c r="DM14" s="19"/>
      <c r="DN14" s="19"/>
      <c r="DO14" s="19"/>
      <c r="DP14" s="19"/>
      <c r="DQ14" s="19"/>
      <c r="DR14" s="19"/>
      <c r="DS14" s="19"/>
      <c r="DT14" s="19"/>
      <c r="DU14" s="19"/>
      <c r="DV14" s="19"/>
      <c r="DW14" s="19"/>
      <c r="DX14" s="19"/>
      <c r="DY14" s="21">
        <f t="shared" si="19"/>
        <v>0</v>
      </c>
      <c r="EA14" s="19"/>
      <c r="EB14" s="19"/>
      <c r="EC14" s="19"/>
      <c r="ED14" s="19"/>
      <c r="EE14" s="19"/>
      <c r="EF14" s="19"/>
      <c r="EG14" s="19"/>
      <c r="EH14" s="19"/>
      <c r="EI14" s="19"/>
      <c r="EJ14" s="19"/>
      <c r="EK14" s="19"/>
      <c r="EL14" s="19"/>
      <c r="EM14" s="21">
        <f t="shared" si="20"/>
        <v>0</v>
      </c>
      <c r="EO14" s="19"/>
      <c r="EP14" s="19"/>
      <c r="EQ14" s="19"/>
      <c r="ER14" s="19"/>
      <c r="ES14" s="19"/>
      <c r="ET14" s="19"/>
      <c r="EU14" s="19"/>
      <c r="EV14" s="19"/>
      <c r="EW14" s="19"/>
      <c r="EX14" s="19"/>
      <c r="EY14" s="19"/>
      <c r="EZ14" s="19"/>
      <c r="FA14" s="21">
        <f t="shared" si="21"/>
        <v>0</v>
      </c>
    </row>
    <row r="15" spans="1:157" hidden="1" x14ac:dyDescent="0.3">
      <c r="C15" s="18" t="s">
        <v>100</v>
      </c>
      <c r="E15" s="19">
        <v>1000</v>
      </c>
      <c r="F15" s="19"/>
      <c r="G15" s="19"/>
      <c r="H15" s="19"/>
      <c r="I15" s="19"/>
      <c r="J15" s="19"/>
      <c r="K15" s="19"/>
      <c r="L15" s="19"/>
      <c r="M15" s="19"/>
      <c r="N15" s="19"/>
      <c r="O15" s="19"/>
      <c r="P15" s="19"/>
      <c r="Q15" s="21">
        <f t="shared" si="11"/>
        <v>1000</v>
      </c>
      <c r="S15" s="19"/>
      <c r="T15" s="19"/>
      <c r="U15" s="19"/>
      <c r="V15" s="19"/>
      <c r="W15" s="19"/>
      <c r="X15" s="19"/>
      <c r="Y15" s="19"/>
      <c r="Z15" s="19"/>
      <c r="AA15" s="19"/>
      <c r="AB15" s="19"/>
      <c r="AC15" s="19"/>
      <c r="AD15" s="19"/>
      <c r="AE15" s="21">
        <f t="shared" si="12"/>
        <v>0</v>
      </c>
      <c r="AG15" s="19"/>
      <c r="AH15" s="19"/>
      <c r="AI15" s="19"/>
      <c r="AJ15" s="19"/>
      <c r="AK15" s="19"/>
      <c r="AL15" s="19"/>
      <c r="AM15" s="19"/>
      <c r="AN15" s="19"/>
      <c r="AO15" s="19"/>
      <c r="AP15" s="19"/>
      <c r="AQ15" s="19"/>
      <c r="AR15" s="19"/>
      <c r="AS15" s="21">
        <f t="shared" si="13"/>
        <v>0</v>
      </c>
      <c r="AU15" s="19"/>
      <c r="AV15" s="19"/>
      <c r="AW15" s="19"/>
      <c r="AX15" s="19"/>
      <c r="AY15" s="19"/>
      <c r="AZ15" s="19"/>
      <c r="BA15" s="19"/>
      <c r="BB15" s="19"/>
      <c r="BC15" s="19"/>
      <c r="BD15" s="19"/>
      <c r="BE15" s="19"/>
      <c r="BF15" s="19"/>
      <c r="BG15" s="21">
        <f t="shared" si="14"/>
        <v>0</v>
      </c>
      <c r="BI15" s="19"/>
      <c r="BJ15" s="19"/>
      <c r="BK15" s="19"/>
      <c r="BL15" s="19"/>
      <c r="BM15" s="19"/>
      <c r="BN15" s="19"/>
      <c r="BO15" s="19"/>
      <c r="BP15" s="19"/>
      <c r="BQ15" s="19"/>
      <c r="BR15" s="19"/>
      <c r="BS15" s="19"/>
      <c r="BT15" s="19"/>
      <c r="BU15" s="21">
        <f t="shared" si="15"/>
        <v>0</v>
      </c>
      <c r="BW15" s="19"/>
      <c r="BX15" s="19"/>
      <c r="BY15" s="19"/>
      <c r="BZ15" s="19"/>
      <c r="CA15" s="19"/>
      <c r="CB15" s="19"/>
      <c r="CC15" s="19"/>
      <c r="CD15" s="19"/>
      <c r="CE15" s="19"/>
      <c r="CF15" s="19"/>
      <c r="CG15" s="19"/>
      <c r="CH15" s="19"/>
      <c r="CI15" s="21">
        <f t="shared" si="16"/>
        <v>0</v>
      </c>
      <c r="CK15" s="19"/>
      <c r="CL15" s="19"/>
      <c r="CM15" s="19"/>
      <c r="CN15" s="19"/>
      <c r="CO15" s="19"/>
      <c r="CP15" s="19"/>
      <c r="CQ15" s="19"/>
      <c r="CR15" s="19"/>
      <c r="CS15" s="19"/>
      <c r="CT15" s="19"/>
      <c r="CU15" s="19"/>
      <c r="CV15" s="19"/>
      <c r="CW15" s="21">
        <f t="shared" si="17"/>
        <v>0</v>
      </c>
      <c r="CY15" s="19"/>
      <c r="CZ15" s="19"/>
      <c r="DA15" s="19"/>
      <c r="DB15" s="19"/>
      <c r="DC15" s="19"/>
      <c r="DD15" s="19"/>
      <c r="DE15" s="19"/>
      <c r="DF15" s="19"/>
      <c r="DG15" s="19"/>
      <c r="DH15" s="19"/>
      <c r="DI15" s="19"/>
      <c r="DJ15" s="19"/>
      <c r="DK15" s="21">
        <f t="shared" si="18"/>
        <v>0</v>
      </c>
      <c r="DM15" s="19"/>
      <c r="DN15" s="19"/>
      <c r="DO15" s="19"/>
      <c r="DP15" s="19"/>
      <c r="DQ15" s="19"/>
      <c r="DR15" s="19"/>
      <c r="DS15" s="19"/>
      <c r="DT15" s="19"/>
      <c r="DU15" s="19"/>
      <c r="DV15" s="19"/>
      <c r="DW15" s="19"/>
      <c r="DX15" s="19"/>
      <c r="DY15" s="21">
        <f t="shared" si="19"/>
        <v>0</v>
      </c>
      <c r="EA15" s="19"/>
      <c r="EB15" s="19"/>
      <c r="EC15" s="19"/>
      <c r="ED15" s="19"/>
      <c r="EE15" s="19"/>
      <c r="EF15" s="19"/>
      <c r="EG15" s="19"/>
      <c r="EH15" s="19"/>
      <c r="EI15" s="19"/>
      <c r="EJ15" s="19"/>
      <c r="EK15" s="19"/>
      <c r="EL15" s="19"/>
      <c r="EM15" s="21">
        <f t="shared" si="20"/>
        <v>0</v>
      </c>
      <c r="EO15" s="19"/>
      <c r="EP15" s="19"/>
      <c r="EQ15" s="19"/>
      <c r="ER15" s="19"/>
      <c r="ES15" s="19"/>
      <c r="ET15" s="19"/>
      <c r="EU15" s="19"/>
      <c r="EV15" s="19"/>
      <c r="EW15" s="19"/>
      <c r="EX15" s="19"/>
      <c r="EY15" s="19"/>
      <c r="EZ15" s="19"/>
      <c r="FA15" s="21">
        <f t="shared" si="21"/>
        <v>0</v>
      </c>
    </row>
    <row r="16" spans="1:157" hidden="1" x14ac:dyDescent="0.3">
      <c r="C16" s="18" t="s">
        <v>100</v>
      </c>
      <c r="E16" s="19">
        <v>1000</v>
      </c>
      <c r="F16" s="19"/>
      <c r="G16" s="19"/>
      <c r="H16" s="19"/>
      <c r="I16" s="19"/>
      <c r="J16" s="19"/>
      <c r="K16" s="19"/>
      <c r="L16" s="19"/>
      <c r="M16" s="19"/>
      <c r="N16" s="19"/>
      <c r="O16" s="19"/>
      <c r="P16" s="19"/>
      <c r="Q16" s="21">
        <f t="shared" si="11"/>
        <v>1000</v>
      </c>
      <c r="S16" s="19"/>
      <c r="T16" s="19"/>
      <c r="U16" s="19"/>
      <c r="V16" s="19"/>
      <c r="W16" s="19"/>
      <c r="X16" s="19"/>
      <c r="Y16" s="19"/>
      <c r="Z16" s="19"/>
      <c r="AA16" s="19"/>
      <c r="AB16" s="19"/>
      <c r="AC16" s="19"/>
      <c r="AD16" s="19"/>
      <c r="AE16" s="21">
        <f t="shared" si="12"/>
        <v>0</v>
      </c>
      <c r="AG16" s="19"/>
      <c r="AH16" s="19"/>
      <c r="AI16" s="19"/>
      <c r="AJ16" s="19"/>
      <c r="AK16" s="19"/>
      <c r="AL16" s="19"/>
      <c r="AM16" s="19"/>
      <c r="AN16" s="19"/>
      <c r="AO16" s="19"/>
      <c r="AP16" s="19"/>
      <c r="AQ16" s="19"/>
      <c r="AR16" s="19"/>
      <c r="AS16" s="21">
        <f t="shared" si="13"/>
        <v>0</v>
      </c>
      <c r="AU16" s="19"/>
      <c r="AV16" s="19"/>
      <c r="AW16" s="19"/>
      <c r="AX16" s="19"/>
      <c r="AY16" s="19"/>
      <c r="AZ16" s="19"/>
      <c r="BA16" s="19"/>
      <c r="BB16" s="19"/>
      <c r="BC16" s="19"/>
      <c r="BD16" s="19"/>
      <c r="BE16" s="19"/>
      <c r="BF16" s="19"/>
      <c r="BG16" s="21">
        <f t="shared" si="14"/>
        <v>0</v>
      </c>
      <c r="BI16" s="19"/>
      <c r="BJ16" s="19"/>
      <c r="BK16" s="19"/>
      <c r="BL16" s="19"/>
      <c r="BM16" s="19"/>
      <c r="BN16" s="19"/>
      <c r="BO16" s="19"/>
      <c r="BP16" s="19"/>
      <c r="BQ16" s="19"/>
      <c r="BR16" s="19"/>
      <c r="BS16" s="19"/>
      <c r="BT16" s="19"/>
      <c r="BU16" s="21">
        <f t="shared" si="15"/>
        <v>0</v>
      </c>
      <c r="BW16" s="19"/>
      <c r="BX16" s="19"/>
      <c r="BY16" s="19"/>
      <c r="BZ16" s="19"/>
      <c r="CA16" s="19"/>
      <c r="CB16" s="19"/>
      <c r="CC16" s="19"/>
      <c r="CD16" s="19"/>
      <c r="CE16" s="19"/>
      <c r="CF16" s="19"/>
      <c r="CG16" s="19"/>
      <c r="CH16" s="19"/>
      <c r="CI16" s="21">
        <f t="shared" si="16"/>
        <v>0</v>
      </c>
      <c r="CK16" s="19"/>
      <c r="CL16" s="19"/>
      <c r="CM16" s="19"/>
      <c r="CN16" s="19"/>
      <c r="CO16" s="19"/>
      <c r="CP16" s="19"/>
      <c r="CQ16" s="19"/>
      <c r="CR16" s="19"/>
      <c r="CS16" s="19"/>
      <c r="CT16" s="19"/>
      <c r="CU16" s="19"/>
      <c r="CV16" s="19"/>
      <c r="CW16" s="21">
        <f t="shared" si="17"/>
        <v>0</v>
      </c>
      <c r="CY16" s="19"/>
      <c r="CZ16" s="19"/>
      <c r="DA16" s="19"/>
      <c r="DB16" s="19"/>
      <c r="DC16" s="19"/>
      <c r="DD16" s="19"/>
      <c r="DE16" s="19"/>
      <c r="DF16" s="19"/>
      <c r="DG16" s="19"/>
      <c r="DH16" s="19"/>
      <c r="DI16" s="19"/>
      <c r="DJ16" s="19"/>
      <c r="DK16" s="21">
        <f t="shared" si="18"/>
        <v>0</v>
      </c>
      <c r="DM16" s="19"/>
      <c r="DN16" s="19"/>
      <c r="DO16" s="19"/>
      <c r="DP16" s="19"/>
      <c r="DQ16" s="19"/>
      <c r="DR16" s="19"/>
      <c r="DS16" s="19"/>
      <c r="DT16" s="19"/>
      <c r="DU16" s="19"/>
      <c r="DV16" s="19"/>
      <c r="DW16" s="19"/>
      <c r="DX16" s="19"/>
      <c r="DY16" s="21">
        <f t="shared" si="19"/>
        <v>0</v>
      </c>
      <c r="EA16" s="19"/>
      <c r="EB16" s="19"/>
      <c r="EC16" s="19"/>
      <c r="ED16" s="19"/>
      <c r="EE16" s="19"/>
      <c r="EF16" s="19"/>
      <c r="EG16" s="19"/>
      <c r="EH16" s="19"/>
      <c r="EI16" s="19"/>
      <c r="EJ16" s="19"/>
      <c r="EK16" s="19"/>
      <c r="EL16" s="19"/>
      <c r="EM16" s="21">
        <f t="shared" si="20"/>
        <v>0</v>
      </c>
      <c r="EO16" s="19"/>
      <c r="EP16" s="19"/>
      <c r="EQ16" s="19"/>
      <c r="ER16" s="19"/>
      <c r="ES16" s="19"/>
      <c r="ET16" s="19"/>
      <c r="EU16" s="19"/>
      <c r="EV16" s="19"/>
      <c r="EW16" s="19"/>
      <c r="EX16" s="19"/>
      <c r="EY16" s="19"/>
      <c r="EZ16" s="19"/>
      <c r="FA16" s="21">
        <f t="shared" si="21"/>
        <v>0</v>
      </c>
    </row>
    <row r="17" spans="2:157" hidden="1" x14ac:dyDescent="0.3">
      <c r="C17" s="18" t="s">
        <v>100</v>
      </c>
      <c r="E17" s="19">
        <v>1000</v>
      </c>
      <c r="F17" s="19"/>
      <c r="G17" s="19"/>
      <c r="H17" s="19"/>
      <c r="I17" s="19"/>
      <c r="J17" s="19"/>
      <c r="K17" s="19"/>
      <c r="L17" s="19"/>
      <c r="M17" s="19"/>
      <c r="N17" s="19"/>
      <c r="O17" s="19"/>
      <c r="P17" s="19"/>
      <c r="Q17" s="21">
        <f t="shared" si="11"/>
        <v>1000</v>
      </c>
      <c r="S17" s="19"/>
      <c r="T17" s="19"/>
      <c r="U17" s="19"/>
      <c r="V17" s="19"/>
      <c r="W17" s="19"/>
      <c r="X17" s="19"/>
      <c r="Y17" s="19"/>
      <c r="Z17" s="19"/>
      <c r="AA17" s="19"/>
      <c r="AB17" s="19"/>
      <c r="AC17" s="19"/>
      <c r="AD17" s="19"/>
      <c r="AE17" s="21">
        <f t="shared" si="12"/>
        <v>0</v>
      </c>
      <c r="AG17" s="19"/>
      <c r="AH17" s="19"/>
      <c r="AI17" s="19"/>
      <c r="AJ17" s="19"/>
      <c r="AK17" s="19"/>
      <c r="AL17" s="19"/>
      <c r="AM17" s="19"/>
      <c r="AN17" s="19"/>
      <c r="AO17" s="19"/>
      <c r="AP17" s="19"/>
      <c r="AQ17" s="19"/>
      <c r="AR17" s="19"/>
      <c r="AS17" s="21">
        <f t="shared" si="13"/>
        <v>0</v>
      </c>
      <c r="AU17" s="19"/>
      <c r="AV17" s="19"/>
      <c r="AW17" s="19"/>
      <c r="AX17" s="19"/>
      <c r="AY17" s="19"/>
      <c r="AZ17" s="19"/>
      <c r="BA17" s="19"/>
      <c r="BB17" s="19"/>
      <c r="BC17" s="19"/>
      <c r="BD17" s="19"/>
      <c r="BE17" s="19"/>
      <c r="BF17" s="19"/>
      <c r="BG17" s="21">
        <f t="shared" si="14"/>
        <v>0</v>
      </c>
      <c r="BI17" s="19"/>
      <c r="BJ17" s="19"/>
      <c r="BK17" s="19"/>
      <c r="BL17" s="19"/>
      <c r="BM17" s="19"/>
      <c r="BN17" s="19"/>
      <c r="BO17" s="19"/>
      <c r="BP17" s="19"/>
      <c r="BQ17" s="19"/>
      <c r="BR17" s="19"/>
      <c r="BS17" s="19"/>
      <c r="BT17" s="19"/>
      <c r="BU17" s="21">
        <f t="shared" si="15"/>
        <v>0</v>
      </c>
      <c r="BW17" s="19"/>
      <c r="BX17" s="19"/>
      <c r="BY17" s="19"/>
      <c r="BZ17" s="19"/>
      <c r="CA17" s="19"/>
      <c r="CB17" s="19"/>
      <c r="CC17" s="19"/>
      <c r="CD17" s="19"/>
      <c r="CE17" s="19"/>
      <c r="CF17" s="19"/>
      <c r="CG17" s="19"/>
      <c r="CH17" s="19"/>
      <c r="CI17" s="21">
        <f t="shared" si="16"/>
        <v>0</v>
      </c>
      <c r="CK17" s="19"/>
      <c r="CL17" s="19"/>
      <c r="CM17" s="19"/>
      <c r="CN17" s="19"/>
      <c r="CO17" s="19"/>
      <c r="CP17" s="19"/>
      <c r="CQ17" s="19"/>
      <c r="CR17" s="19"/>
      <c r="CS17" s="19"/>
      <c r="CT17" s="19"/>
      <c r="CU17" s="19"/>
      <c r="CV17" s="19"/>
      <c r="CW17" s="21">
        <f t="shared" si="17"/>
        <v>0</v>
      </c>
      <c r="CY17" s="19"/>
      <c r="CZ17" s="19"/>
      <c r="DA17" s="19"/>
      <c r="DB17" s="19"/>
      <c r="DC17" s="19"/>
      <c r="DD17" s="19"/>
      <c r="DE17" s="19"/>
      <c r="DF17" s="19"/>
      <c r="DG17" s="19"/>
      <c r="DH17" s="19"/>
      <c r="DI17" s="19"/>
      <c r="DJ17" s="19"/>
      <c r="DK17" s="21">
        <f t="shared" si="18"/>
        <v>0</v>
      </c>
      <c r="DM17" s="19"/>
      <c r="DN17" s="19"/>
      <c r="DO17" s="19"/>
      <c r="DP17" s="19"/>
      <c r="DQ17" s="19"/>
      <c r="DR17" s="19"/>
      <c r="DS17" s="19"/>
      <c r="DT17" s="19"/>
      <c r="DU17" s="19"/>
      <c r="DV17" s="19"/>
      <c r="DW17" s="19"/>
      <c r="DX17" s="19"/>
      <c r="DY17" s="21">
        <f t="shared" si="19"/>
        <v>0</v>
      </c>
      <c r="EA17" s="19"/>
      <c r="EB17" s="19"/>
      <c r="EC17" s="19"/>
      <c r="ED17" s="19"/>
      <c r="EE17" s="19"/>
      <c r="EF17" s="19"/>
      <c r="EG17" s="19"/>
      <c r="EH17" s="19"/>
      <c r="EI17" s="19"/>
      <c r="EJ17" s="19"/>
      <c r="EK17" s="19"/>
      <c r="EL17" s="19"/>
      <c r="EM17" s="21">
        <f t="shared" si="20"/>
        <v>0</v>
      </c>
      <c r="EO17" s="19"/>
      <c r="EP17" s="19"/>
      <c r="EQ17" s="19"/>
      <c r="ER17" s="19"/>
      <c r="ES17" s="19"/>
      <c r="ET17" s="19"/>
      <c r="EU17" s="19"/>
      <c r="EV17" s="19"/>
      <c r="EW17" s="19"/>
      <c r="EX17" s="19"/>
      <c r="EY17" s="19"/>
      <c r="EZ17" s="19"/>
      <c r="FA17" s="21">
        <f t="shared" si="21"/>
        <v>0</v>
      </c>
    </row>
    <row r="18" spans="2:157" hidden="1" x14ac:dyDescent="0.3">
      <c r="C18" s="18" t="s">
        <v>100</v>
      </c>
      <c r="E18" s="19">
        <v>1000</v>
      </c>
      <c r="F18" s="19"/>
      <c r="G18" s="19"/>
      <c r="H18" s="19"/>
      <c r="I18" s="19"/>
      <c r="J18" s="19"/>
      <c r="K18" s="19"/>
      <c r="L18" s="19"/>
      <c r="M18" s="19"/>
      <c r="N18" s="19"/>
      <c r="O18" s="19"/>
      <c r="P18" s="19"/>
      <c r="Q18" s="21">
        <f t="shared" si="11"/>
        <v>1000</v>
      </c>
      <c r="S18" s="19"/>
      <c r="T18" s="19"/>
      <c r="U18" s="19"/>
      <c r="V18" s="19"/>
      <c r="W18" s="19"/>
      <c r="X18" s="19"/>
      <c r="Y18" s="19"/>
      <c r="Z18" s="19"/>
      <c r="AA18" s="19"/>
      <c r="AB18" s="19"/>
      <c r="AC18" s="19"/>
      <c r="AD18" s="19"/>
      <c r="AE18" s="21">
        <f t="shared" si="12"/>
        <v>0</v>
      </c>
      <c r="AG18" s="19"/>
      <c r="AH18" s="19"/>
      <c r="AI18" s="19"/>
      <c r="AJ18" s="19"/>
      <c r="AK18" s="19"/>
      <c r="AL18" s="19"/>
      <c r="AM18" s="19"/>
      <c r="AN18" s="19"/>
      <c r="AO18" s="19"/>
      <c r="AP18" s="19"/>
      <c r="AQ18" s="19"/>
      <c r="AR18" s="19"/>
      <c r="AS18" s="21">
        <f t="shared" si="13"/>
        <v>0</v>
      </c>
      <c r="AU18" s="19"/>
      <c r="AV18" s="19"/>
      <c r="AW18" s="19"/>
      <c r="AX18" s="19"/>
      <c r="AY18" s="19"/>
      <c r="AZ18" s="19"/>
      <c r="BA18" s="19"/>
      <c r="BB18" s="19"/>
      <c r="BC18" s="19"/>
      <c r="BD18" s="19"/>
      <c r="BE18" s="19"/>
      <c r="BF18" s="19"/>
      <c r="BG18" s="21">
        <f t="shared" si="14"/>
        <v>0</v>
      </c>
      <c r="BI18" s="19"/>
      <c r="BJ18" s="19"/>
      <c r="BK18" s="19"/>
      <c r="BL18" s="19"/>
      <c r="BM18" s="19"/>
      <c r="BN18" s="19"/>
      <c r="BO18" s="19"/>
      <c r="BP18" s="19"/>
      <c r="BQ18" s="19"/>
      <c r="BR18" s="19"/>
      <c r="BS18" s="19"/>
      <c r="BT18" s="19"/>
      <c r="BU18" s="21">
        <f t="shared" si="15"/>
        <v>0</v>
      </c>
      <c r="BW18" s="19"/>
      <c r="BX18" s="19"/>
      <c r="BY18" s="19"/>
      <c r="BZ18" s="19"/>
      <c r="CA18" s="19"/>
      <c r="CB18" s="19"/>
      <c r="CC18" s="19"/>
      <c r="CD18" s="19"/>
      <c r="CE18" s="19"/>
      <c r="CF18" s="19"/>
      <c r="CG18" s="19"/>
      <c r="CH18" s="19"/>
      <c r="CI18" s="21">
        <f t="shared" si="16"/>
        <v>0</v>
      </c>
      <c r="CK18" s="19"/>
      <c r="CL18" s="19"/>
      <c r="CM18" s="19"/>
      <c r="CN18" s="19"/>
      <c r="CO18" s="19"/>
      <c r="CP18" s="19"/>
      <c r="CQ18" s="19"/>
      <c r="CR18" s="19"/>
      <c r="CS18" s="19"/>
      <c r="CT18" s="19"/>
      <c r="CU18" s="19"/>
      <c r="CV18" s="19"/>
      <c r="CW18" s="21">
        <f t="shared" si="17"/>
        <v>0</v>
      </c>
      <c r="CY18" s="19"/>
      <c r="CZ18" s="19"/>
      <c r="DA18" s="19"/>
      <c r="DB18" s="19"/>
      <c r="DC18" s="19"/>
      <c r="DD18" s="19"/>
      <c r="DE18" s="19"/>
      <c r="DF18" s="19"/>
      <c r="DG18" s="19"/>
      <c r="DH18" s="19"/>
      <c r="DI18" s="19"/>
      <c r="DJ18" s="19"/>
      <c r="DK18" s="21">
        <f t="shared" si="18"/>
        <v>0</v>
      </c>
      <c r="DM18" s="19"/>
      <c r="DN18" s="19"/>
      <c r="DO18" s="19"/>
      <c r="DP18" s="19"/>
      <c r="DQ18" s="19"/>
      <c r="DR18" s="19"/>
      <c r="DS18" s="19"/>
      <c r="DT18" s="19"/>
      <c r="DU18" s="19"/>
      <c r="DV18" s="19"/>
      <c r="DW18" s="19"/>
      <c r="DX18" s="19"/>
      <c r="DY18" s="21">
        <f t="shared" si="19"/>
        <v>0</v>
      </c>
      <c r="EA18" s="19"/>
      <c r="EB18" s="19"/>
      <c r="EC18" s="19"/>
      <c r="ED18" s="19"/>
      <c r="EE18" s="19"/>
      <c r="EF18" s="19"/>
      <c r="EG18" s="19"/>
      <c r="EH18" s="19"/>
      <c r="EI18" s="19"/>
      <c r="EJ18" s="19"/>
      <c r="EK18" s="19"/>
      <c r="EL18" s="19"/>
      <c r="EM18" s="21">
        <f t="shared" si="20"/>
        <v>0</v>
      </c>
      <c r="EO18" s="19"/>
      <c r="EP18" s="19"/>
      <c r="EQ18" s="19"/>
      <c r="ER18" s="19"/>
      <c r="ES18" s="19"/>
      <c r="ET18" s="19"/>
      <c r="EU18" s="19"/>
      <c r="EV18" s="19"/>
      <c r="EW18" s="19"/>
      <c r="EX18" s="19"/>
      <c r="EY18" s="19"/>
      <c r="EZ18" s="19"/>
      <c r="FA18" s="21">
        <f t="shared" si="21"/>
        <v>0</v>
      </c>
    </row>
    <row r="19" spans="2:157" hidden="1" x14ac:dyDescent="0.3">
      <c r="C19" s="18" t="s">
        <v>100</v>
      </c>
      <c r="E19" s="19">
        <v>1000</v>
      </c>
      <c r="F19" s="19"/>
      <c r="G19" s="19"/>
      <c r="H19" s="19"/>
      <c r="I19" s="19"/>
      <c r="J19" s="19"/>
      <c r="K19" s="19"/>
      <c r="L19" s="19"/>
      <c r="M19" s="19"/>
      <c r="N19" s="19"/>
      <c r="O19" s="19"/>
      <c r="P19" s="19"/>
      <c r="Q19" s="21">
        <f t="shared" si="11"/>
        <v>1000</v>
      </c>
      <c r="S19" s="19"/>
      <c r="T19" s="19"/>
      <c r="U19" s="19"/>
      <c r="V19" s="19"/>
      <c r="W19" s="19"/>
      <c r="X19" s="19"/>
      <c r="Y19" s="19"/>
      <c r="Z19" s="19"/>
      <c r="AA19" s="19"/>
      <c r="AB19" s="19"/>
      <c r="AC19" s="19"/>
      <c r="AD19" s="19"/>
      <c r="AE19" s="21">
        <f t="shared" si="12"/>
        <v>0</v>
      </c>
      <c r="AG19" s="19"/>
      <c r="AH19" s="19"/>
      <c r="AI19" s="19"/>
      <c r="AJ19" s="19"/>
      <c r="AK19" s="19"/>
      <c r="AL19" s="19"/>
      <c r="AM19" s="19"/>
      <c r="AN19" s="19"/>
      <c r="AO19" s="19"/>
      <c r="AP19" s="19"/>
      <c r="AQ19" s="19"/>
      <c r="AR19" s="19"/>
      <c r="AS19" s="21">
        <f t="shared" si="13"/>
        <v>0</v>
      </c>
      <c r="AU19" s="19"/>
      <c r="AV19" s="19"/>
      <c r="AW19" s="19"/>
      <c r="AX19" s="19"/>
      <c r="AY19" s="19"/>
      <c r="AZ19" s="19"/>
      <c r="BA19" s="19"/>
      <c r="BB19" s="19"/>
      <c r="BC19" s="19"/>
      <c r="BD19" s="19"/>
      <c r="BE19" s="19"/>
      <c r="BF19" s="19"/>
      <c r="BG19" s="21">
        <f t="shared" si="14"/>
        <v>0</v>
      </c>
      <c r="BI19" s="19"/>
      <c r="BJ19" s="19"/>
      <c r="BK19" s="19"/>
      <c r="BL19" s="19"/>
      <c r="BM19" s="19"/>
      <c r="BN19" s="19"/>
      <c r="BO19" s="19"/>
      <c r="BP19" s="19"/>
      <c r="BQ19" s="19"/>
      <c r="BR19" s="19"/>
      <c r="BS19" s="19"/>
      <c r="BT19" s="19"/>
      <c r="BU19" s="21">
        <f t="shared" si="15"/>
        <v>0</v>
      </c>
      <c r="BW19" s="19"/>
      <c r="BX19" s="19"/>
      <c r="BY19" s="19"/>
      <c r="BZ19" s="19"/>
      <c r="CA19" s="19"/>
      <c r="CB19" s="19"/>
      <c r="CC19" s="19"/>
      <c r="CD19" s="19"/>
      <c r="CE19" s="19"/>
      <c r="CF19" s="19"/>
      <c r="CG19" s="19"/>
      <c r="CH19" s="19"/>
      <c r="CI19" s="21">
        <f t="shared" si="16"/>
        <v>0</v>
      </c>
      <c r="CK19" s="19"/>
      <c r="CL19" s="19"/>
      <c r="CM19" s="19"/>
      <c r="CN19" s="19"/>
      <c r="CO19" s="19"/>
      <c r="CP19" s="19"/>
      <c r="CQ19" s="19"/>
      <c r="CR19" s="19"/>
      <c r="CS19" s="19"/>
      <c r="CT19" s="19"/>
      <c r="CU19" s="19"/>
      <c r="CV19" s="19"/>
      <c r="CW19" s="21">
        <f t="shared" si="17"/>
        <v>0</v>
      </c>
      <c r="CY19" s="19"/>
      <c r="CZ19" s="19"/>
      <c r="DA19" s="19"/>
      <c r="DB19" s="19"/>
      <c r="DC19" s="19"/>
      <c r="DD19" s="19"/>
      <c r="DE19" s="19"/>
      <c r="DF19" s="19"/>
      <c r="DG19" s="19"/>
      <c r="DH19" s="19"/>
      <c r="DI19" s="19"/>
      <c r="DJ19" s="19"/>
      <c r="DK19" s="21">
        <f t="shared" si="18"/>
        <v>0</v>
      </c>
      <c r="DM19" s="19"/>
      <c r="DN19" s="19"/>
      <c r="DO19" s="19"/>
      <c r="DP19" s="19"/>
      <c r="DQ19" s="19"/>
      <c r="DR19" s="19"/>
      <c r="DS19" s="19"/>
      <c r="DT19" s="19"/>
      <c r="DU19" s="19"/>
      <c r="DV19" s="19"/>
      <c r="DW19" s="19"/>
      <c r="DX19" s="19"/>
      <c r="DY19" s="21">
        <f t="shared" si="19"/>
        <v>0</v>
      </c>
      <c r="EA19" s="19"/>
      <c r="EB19" s="19"/>
      <c r="EC19" s="19"/>
      <c r="ED19" s="19"/>
      <c r="EE19" s="19"/>
      <c r="EF19" s="19"/>
      <c r="EG19" s="19"/>
      <c r="EH19" s="19"/>
      <c r="EI19" s="19"/>
      <c r="EJ19" s="19"/>
      <c r="EK19" s="19"/>
      <c r="EL19" s="19"/>
      <c r="EM19" s="21">
        <f t="shared" si="20"/>
        <v>0</v>
      </c>
      <c r="EO19" s="19"/>
      <c r="EP19" s="19"/>
      <c r="EQ19" s="19"/>
      <c r="ER19" s="19"/>
      <c r="ES19" s="19"/>
      <c r="ET19" s="19"/>
      <c r="EU19" s="19"/>
      <c r="EV19" s="19"/>
      <c r="EW19" s="19"/>
      <c r="EX19" s="19"/>
      <c r="EY19" s="19"/>
      <c r="EZ19" s="19"/>
      <c r="FA19" s="21">
        <f t="shared" si="21"/>
        <v>0</v>
      </c>
    </row>
    <row r="20" spans="2:157" x14ac:dyDescent="0.3">
      <c r="C20" s="17" t="s">
        <v>54</v>
      </c>
      <c r="E20" s="20">
        <f t="array" aca="1" ref="E20" ca="1">SUM(INDIRECT(ADDRESS(income_min_row,COLUMN()) &amp; ":" &amp; ADDRESS(income_max_row, COLUMN())))</f>
        <v>1210</v>
      </c>
      <c r="F20" s="20">
        <f t="array" aca="1" ref="F20" ca="1">SUM(INDIRECT(ADDRESS(income_min_row,COLUMN()) &amp; ":" &amp; ADDRESS(income_max_row, COLUMN())))</f>
        <v>1210</v>
      </c>
      <c r="G20" s="20">
        <f t="array" aca="1" ref="G20" ca="1">SUM(INDIRECT(ADDRESS(income_min_row,COLUMN()) &amp; ":" &amp; ADDRESS(income_max_row, COLUMN())))</f>
        <v>1010</v>
      </c>
      <c r="H20" s="20">
        <f t="array" aca="1" ref="H20" ca="1">SUM(INDIRECT(ADDRESS(income_min_row,COLUMN()) &amp; ":" &amp; ADDRESS(income_max_row, COLUMN())))</f>
        <v>1210</v>
      </c>
      <c r="I20" s="20">
        <f t="array" aca="1" ref="I20" ca="1">SUM(INDIRECT(ADDRESS(income_min_row,COLUMN()) &amp; ":" &amp; ADDRESS(income_max_row, COLUMN())))</f>
        <v>1210</v>
      </c>
      <c r="J20" s="20">
        <f t="array" aca="1" ref="J20" ca="1">SUM(INDIRECT(ADDRESS(income_min_row,COLUMN()) &amp; ":" &amp; ADDRESS(income_max_row, COLUMN())))</f>
        <v>1010</v>
      </c>
      <c r="K20" s="20">
        <f t="array" aca="1" ref="K20" ca="1">SUM(INDIRECT(ADDRESS(income_min_row,COLUMN()) &amp; ":" &amp; ADDRESS(income_max_row, COLUMN())))</f>
        <v>1210</v>
      </c>
      <c r="L20" s="20">
        <f t="array" aca="1" ref="L20" ca="1">SUM(INDIRECT(ADDRESS(income_min_row,COLUMN()) &amp; ":" &amp; ADDRESS(income_max_row, COLUMN())))</f>
        <v>1210</v>
      </c>
      <c r="M20" s="20">
        <f t="array" aca="1" ref="M20" ca="1">SUM(INDIRECT(ADDRESS(income_min_row,COLUMN()) &amp; ":" &amp; ADDRESS(income_max_row, COLUMN())))</f>
        <v>1010</v>
      </c>
      <c r="N20" s="20">
        <f t="array" aca="1" ref="N20" ca="1">SUM(INDIRECT(ADDRESS(income_min_row,COLUMN()) &amp; ":" &amp; ADDRESS(income_max_row, COLUMN())))</f>
        <v>1210</v>
      </c>
      <c r="O20" s="20">
        <f t="array" aca="1" ref="O20" ca="1">SUM(INDIRECT(ADDRESS(income_min_row,COLUMN()) &amp; ":" &amp; ADDRESS(income_max_row, COLUMN())))</f>
        <v>1210</v>
      </c>
      <c r="P20" s="20">
        <f t="array" aca="1" ref="P20" ca="1">SUM(INDIRECT(ADDRESS(income_min_row,COLUMN()) &amp; ":" &amp; ADDRESS(income_max_row, COLUMN())))</f>
        <v>1010</v>
      </c>
      <c r="Q20" s="20">
        <f t="array" aca="1" ref="Q20" ca="1">SUM(INDIRECT(ADDRESS(income_min_row,COLUMN()) &amp; ":" &amp; ADDRESS(income_max_row, COLUMN())))</f>
        <v>13720</v>
      </c>
      <c r="S20" s="20">
        <f t="array" aca="1" ref="S20" ca="1">SUM(INDIRECT(ADDRESS(income_min_row,COLUMN()) &amp; ":" &amp; ADDRESS(income_max_row, COLUMN())))</f>
        <v>0</v>
      </c>
      <c r="T20" s="20">
        <f t="array" aca="1" ref="T20" ca="1">SUM(INDIRECT(ADDRESS(income_min_row,COLUMN()) &amp; ":" &amp; ADDRESS(income_max_row, COLUMN())))</f>
        <v>0</v>
      </c>
      <c r="U20" s="20">
        <f t="array" aca="1" ref="U20" ca="1">SUM(INDIRECT(ADDRESS(income_min_row,COLUMN()) &amp; ":" &amp; ADDRESS(income_max_row, COLUMN())))</f>
        <v>0</v>
      </c>
      <c r="V20" s="20">
        <f t="array" aca="1" ref="V20" ca="1">SUM(INDIRECT(ADDRESS(income_min_row,COLUMN()) &amp; ":" &amp; ADDRESS(income_max_row, COLUMN())))</f>
        <v>0</v>
      </c>
      <c r="W20" s="20">
        <f t="array" aca="1" ref="W20" ca="1">SUM(INDIRECT(ADDRESS(income_min_row,COLUMN()) &amp; ":" &amp; ADDRESS(income_max_row, COLUMN())))</f>
        <v>0</v>
      </c>
      <c r="X20" s="20">
        <f t="array" aca="1" ref="X20" ca="1">SUM(INDIRECT(ADDRESS(income_min_row,COLUMN()) &amp; ":" &amp; ADDRESS(income_max_row, COLUMN())))</f>
        <v>0</v>
      </c>
      <c r="Y20" s="20">
        <f t="array" aca="1" ref="Y20" ca="1">SUM(INDIRECT(ADDRESS(income_min_row,COLUMN()) &amp; ":" &amp; ADDRESS(income_max_row, COLUMN())))</f>
        <v>0</v>
      </c>
      <c r="Z20" s="20">
        <f t="array" aca="1" ref="Z20" ca="1">SUM(INDIRECT(ADDRESS(income_min_row,COLUMN()) &amp; ":" &amp; ADDRESS(income_max_row, COLUMN())))</f>
        <v>0</v>
      </c>
      <c r="AA20" s="20">
        <f t="array" aca="1" ref="AA20" ca="1">SUM(INDIRECT(ADDRESS(income_min_row,COLUMN()) &amp; ":" &amp; ADDRESS(income_max_row, COLUMN())))</f>
        <v>0</v>
      </c>
      <c r="AB20" s="20">
        <f t="array" aca="1" ref="AB20" ca="1">SUM(INDIRECT(ADDRESS(income_min_row,COLUMN()) &amp; ":" &amp; ADDRESS(income_max_row, COLUMN())))</f>
        <v>0</v>
      </c>
      <c r="AC20" s="20">
        <f t="array" aca="1" ref="AC20" ca="1">SUM(INDIRECT(ADDRESS(income_min_row,COLUMN()) &amp; ":" &amp; ADDRESS(income_max_row, COLUMN())))</f>
        <v>0</v>
      </c>
      <c r="AD20" s="20">
        <f t="array" aca="1" ref="AD20" ca="1">SUM(INDIRECT(ADDRESS(income_min_row,COLUMN()) &amp; ":" &amp; ADDRESS(income_max_row, COLUMN())))</f>
        <v>0</v>
      </c>
      <c r="AE20" s="20">
        <f t="array" aca="1" ref="AE20" ca="1">SUM(INDIRECT(ADDRESS(income_min_row,COLUMN()) &amp; ":" &amp; ADDRESS(income_max_row, COLUMN())))</f>
        <v>0</v>
      </c>
      <c r="AG20" s="20">
        <f t="array" aca="1" ref="AG20" ca="1">SUM(INDIRECT(ADDRESS(income_min_row,COLUMN()) &amp; ":" &amp; ADDRESS(income_max_row, COLUMN())))</f>
        <v>0</v>
      </c>
      <c r="AH20" s="20">
        <f t="array" aca="1" ref="AH20" ca="1">SUM(INDIRECT(ADDRESS(income_min_row,COLUMN()) &amp; ":" &amp; ADDRESS(income_max_row, COLUMN())))</f>
        <v>0</v>
      </c>
      <c r="AI20" s="20">
        <f t="array" aca="1" ref="AI20" ca="1">SUM(INDIRECT(ADDRESS(income_min_row,COLUMN()) &amp; ":" &amp; ADDRESS(income_max_row, COLUMN())))</f>
        <v>0</v>
      </c>
      <c r="AJ20" s="20">
        <f t="array" aca="1" ref="AJ20" ca="1">SUM(INDIRECT(ADDRESS(income_min_row,COLUMN()) &amp; ":" &amp; ADDRESS(income_max_row, COLUMN())))</f>
        <v>0</v>
      </c>
      <c r="AK20" s="20">
        <f t="array" aca="1" ref="AK20" ca="1">SUM(INDIRECT(ADDRESS(income_min_row,COLUMN()) &amp; ":" &amp; ADDRESS(income_max_row, COLUMN())))</f>
        <v>0</v>
      </c>
      <c r="AL20" s="20">
        <f t="array" aca="1" ref="AL20" ca="1">SUM(INDIRECT(ADDRESS(income_min_row,COLUMN()) &amp; ":" &amp; ADDRESS(income_max_row, COLUMN())))</f>
        <v>0</v>
      </c>
      <c r="AM20" s="20">
        <f t="array" aca="1" ref="AM20" ca="1">SUM(INDIRECT(ADDRESS(income_min_row,COLUMN()) &amp; ":" &amp; ADDRESS(income_max_row, COLUMN())))</f>
        <v>0</v>
      </c>
      <c r="AN20" s="20">
        <f t="array" aca="1" ref="AN20" ca="1">SUM(INDIRECT(ADDRESS(income_min_row,COLUMN()) &amp; ":" &amp; ADDRESS(income_max_row, COLUMN())))</f>
        <v>0</v>
      </c>
      <c r="AO20" s="20">
        <f t="array" aca="1" ref="AO20" ca="1">SUM(INDIRECT(ADDRESS(income_min_row,COLUMN()) &amp; ":" &amp; ADDRESS(income_max_row, COLUMN())))</f>
        <v>0</v>
      </c>
      <c r="AP20" s="20">
        <f t="array" aca="1" ref="AP20" ca="1">SUM(INDIRECT(ADDRESS(income_min_row,COLUMN()) &amp; ":" &amp; ADDRESS(income_max_row, COLUMN())))</f>
        <v>0</v>
      </c>
      <c r="AQ20" s="20">
        <f t="array" aca="1" ref="AQ20" ca="1">SUM(INDIRECT(ADDRESS(income_min_row,COLUMN()) &amp; ":" &amp; ADDRESS(income_max_row, COLUMN())))</f>
        <v>0</v>
      </c>
      <c r="AR20" s="20">
        <f t="array" aca="1" ref="AR20" ca="1">SUM(INDIRECT(ADDRESS(income_min_row,COLUMN()) &amp; ":" &amp; ADDRESS(income_max_row, COLUMN())))</f>
        <v>0</v>
      </c>
      <c r="AS20" s="20">
        <f t="array" aca="1" ref="AS20" ca="1">SUM(INDIRECT(ADDRESS(income_min_row,COLUMN()) &amp; ":" &amp; ADDRESS(income_max_row, COLUMN())))</f>
        <v>0</v>
      </c>
      <c r="AU20" s="20">
        <f t="array" aca="1" ref="AU20" ca="1">SUM(INDIRECT(ADDRESS(income_min_row,COLUMN()) &amp; ":" &amp; ADDRESS(income_max_row, COLUMN())))</f>
        <v>0</v>
      </c>
      <c r="AV20" s="20">
        <f t="array" aca="1" ref="AV20" ca="1">SUM(INDIRECT(ADDRESS(income_min_row,COLUMN()) &amp; ":" &amp; ADDRESS(income_max_row, COLUMN())))</f>
        <v>0</v>
      </c>
      <c r="AW20" s="20">
        <f t="array" aca="1" ref="AW20" ca="1">SUM(INDIRECT(ADDRESS(income_min_row,COLUMN()) &amp; ":" &amp; ADDRESS(income_max_row, COLUMN())))</f>
        <v>0</v>
      </c>
      <c r="AX20" s="20">
        <f t="array" aca="1" ref="AX20" ca="1">SUM(INDIRECT(ADDRESS(income_min_row,COLUMN()) &amp; ":" &amp; ADDRESS(income_max_row, COLUMN())))</f>
        <v>0</v>
      </c>
      <c r="AY20" s="20">
        <f t="array" aca="1" ref="AY20" ca="1">SUM(INDIRECT(ADDRESS(income_min_row,COLUMN()) &amp; ":" &amp; ADDRESS(income_max_row, COLUMN())))</f>
        <v>0</v>
      </c>
      <c r="AZ20" s="20">
        <f t="array" aca="1" ref="AZ20" ca="1">SUM(INDIRECT(ADDRESS(income_min_row,COLUMN()) &amp; ":" &amp; ADDRESS(income_max_row, COLUMN())))</f>
        <v>0</v>
      </c>
      <c r="BA20" s="20">
        <f t="array" aca="1" ref="BA20" ca="1">SUM(INDIRECT(ADDRESS(income_min_row,COLUMN()) &amp; ":" &amp; ADDRESS(income_max_row, COLUMN())))</f>
        <v>0</v>
      </c>
      <c r="BB20" s="20">
        <f t="array" aca="1" ref="BB20" ca="1">SUM(INDIRECT(ADDRESS(income_min_row,COLUMN()) &amp; ":" &amp; ADDRESS(income_max_row, COLUMN())))</f>
        <v>0</v>
      </c>
      <c r="BC20" s="20">
        <f t="array" aca="1" ref="BC20" ca="1">SUM(INDIRECT(ADDRESS(income_min_row,COLUMN()) &amp; ":" &amp; ADDRESS(income_max_row, COLUMN())))</f>
        <v>0</v>
      </c>
      <c r="BD20" s="20">
        <f t="array" aca="1" ref="BD20" ca="1">SUM(INDIRECT(ADDRESS(income_min_row,COLUMN()) &amp; ":" &amp; ADDRESS(income_max_row, COLUMN())))</f>
        <v>0</v>
      </c>
      <c r="BE20" s="20">
        <f t="array" aca="1" ref="BE20" ca="1">SUM(INDIRECT(ADDRESS(income_min_row,COLUMN()) &amp; ":" &amp; ADDRESS(income_max_row, COLUMN())))</f>
        <v>0</v>
      </c>
      <c r="BF20" s="20">
        <f t="array" aca="1" ref="BF20" ca="1">SUM(INDIRECT(ADDRESS(income_min_row,COLUMN()) &amp; ":" &amp; ADDRESS(income_max_row, COLUMN())))</f>
        <v>0</v>
      </c>
      <c r="BG20" s="20">
        <f t="array" aca="1" ref="BG20" ca="1">SUM(INDIRECT(ADDRESS(income_min_row,COLUMN()) &amp; ":" &amp; ADDRESS(income_max_row, COLUMN())))</f>
        <v>0</v>
      </c>
      <c r="BI20" s="20">
        <f t="array" aca="1" ref="BI20" ca="1">SUM(INDIRECT(ADDRESS(income_min_row,COLUMN()) &amp; ":" &amp; ADDRESS(income_max_row, COLUMN())))</f>
        <v>0</v>
      </c>
      <c r="BJ20" s="20">
        <f t="array" aca="1" ref="BJ20" ca="1">SUM(INDIRECT(ADDRESS(income_min_row,COLUMN()) &amp; ":" &amp; ADDRESS(income_max_row, COLUMN())))</f>
        <v>0</v>
      </c>
      <c r="BK20" s="20">
        <f t="array" aca="1" ref="BK20" ca="1">SUM(INDIRECT(ADDRESS(income_min_row,COLUMN()) &amp; ":" &amp; ADDRESS(income_max_row, COLUMN())))</f>
        <v>0</v>
      </c>
      <c r="BL20" s="20">
        <f t="array" aca="1" ref="BL20" ca="1">SUM(INDIRECT(ADDRESS(income_min_row,COLUMN()) &amp; ":" &amp; ADDRESS(income_max_row, COLUMN())))</f>
        <v>0</v>
      </c>
      <c r="BM20" s="20">
        <f t="array" aca="1" ref="BM20" ca="1">SUM(INDIRECT(ADDRESS(income_min_row,COLUMN()) &amp; ":" &amp; ADDRESS(income_max_row, COLUMN())))</f>
        <v>0</v>
      </c>
      <c r="BN20" s="20">
        <f t="array" aca="1" ref="BN20" ca="1">SUM(INDIRECT(ADDRESS(income_min_row,COLUMN()) &amp; ":" &amp; ADDRESS(income_max_row, COLUMN())))</f>
        <v>0</v>
      </c>
      <c r="BO20" s="20">
        <f t="array" aca="1" ref="BO20" ca="1">SUM(INDIRECT(ADDRESS(income_min_row,COLUMN()) &amp; ":" &amp; ADDRESS(income_max_row, COLUMN())))</f>
        <v>0</v>
      </c>
      <c r="BP20" s="20">
        <f t="array" aca="1" ref="BP20" ca="1">SUM(INDIRECT(ADDRESS(income_min_row,COLUMN()) &amp; ":" &amp; ADDRESS(income_max_row, COLUMN())))</f>
        <v>0</v>
      </c>
      <c r="BQ20" s="20">
        <f t="array" aca="1" ref="BQ20" ca="1">SUM(INDIRECT(ADDRESS(income_min_row,COLUMN()) &amp; ":" &amp; ADDRESS(income_max_row, COLUMN())))</f>
        <v>0</v>
      </c>
      <c r="BR20" s="20">
        <f t="array" aca="1" ref="BR20" ca="1">SUM(INDIRECT(ADDRESS(income_min_row,COLUMN()) &amp; ":" &amp; ADDRESS(income_max_row, COLUMN())))</f>
        <v>0</v>
      </c>
      <c r="BS20" s="20">
        <f t="array" aca="1" ref="BS20" ca="1">SUM(INDIRECT(ADDRESS(income_min_row,COLUMN()) &amp; ":" &amp; ADDRESS(income_max_row, COLUMN())))</f>
        <v>0</v>
      </c>
      <c r="BT20" s="20">
        <f t="array" aca="1" ref="BT20" ca="1">SUM(INDIRECT(ADDRESS(income_min_row,COLUMN()) &amp; ":" &amp; ADDRESS(income_max_row, COLUMN())))</f>
        <v>0</v>
      </c>
      <c r="BU20" s="20">
        <f t="array" aca="1" ref="BU20" ca="1">SUM(INDIRECT(ADDRESS(income_min_row,COLUMN()) &amp; ":" &amp; ADDRESS(income_max_row, COLUMN())))</f>
        <v>0</v>
      </c>
      <c r="BW20" s="20">
        <f t="array" aca="1" ref="BW20" ca="1">SUM(INDIRECT(ADDRESS(income_min_row,COLUMN()) &amp; ":" &amp; ADDRESS(income_max_row, COLUMN())))</f>
        <v>0</v>
      </c>
      <c r="BX20" s="20">
        <f t="array" aca="1" ref="BX20" ca="1">SUM(INDIRECT(ADDRESS(income_min_row,COLUMN()) &amp; ":" &amp; ADDRESS(income_max_row, COLUMN())))</f>
        <v>0</v>
      </c>
      <c r="BY20" s="20">
        <f t="array" aca="1" ref="BY20" ca="1">SUM(INDIRECT(ADDRESS(income_min_row,COLUMN()) &amp; ":" &amp; ADDRESS(income_max_row, COLUMN())))</f>
        <v>0</v>
      </c>
      <c r="BZ20" s="20">
        <f t="array" aca="1" ref="BZ20" ca="1">SUM(INDIRECT(ADDRESS(income_min_row,COLUMN()) &amp; ":" &amp; ADDRESS(income_max_row, COLUMN())))</f>
        <v>0</v>
      </c>
      <c r="CA20" s="20">
        <f t="array" aca="1" ref="CA20" ca="1">SUM(INDIRECT(ADDRESS(income_min_row,COLUMN()) &amp; ":" &amp; ADDRESS(income_max_row, COLUMN())))</f>
        <v>0</v>
      </c>
      <c r="CB20" s="20">
        <f t="array" aca="1" ref="CB20" ca="1">SUM(INDIRECT(ADDRESS(income_min_row,COLUMN()) &amp; ":" &amp; ADDRESS(income_max_row, COLUMN())))</f>
        <v>0</v>
      </c>
      <c r="CC20" s="20">
        <f t="array" aca="1" ref="CC20" ca="1">SUM(INDIRECT(ADDRESS(income_min_row,COLUMN()) &amp; ":" &amp; ADDRESS(income_max_row, COLUMN())))</f>
        <v>0</v>
      </c>
      <c r="CD20" s="20">
        <f t="array" aca="1" ref="CD20" ca="1">SUM(INDIRECT(ADDRESS(income_min_row,COLUMN()) &amp; ":" &amp; ADDRESS(income_max_row, COLUMN())))</f>
        <v>0</v>
      </c>
      <c r="CE20" s="20">
        <f t="array" aca="1" ref="CE20" ca="1">SUM(INDIRECT(ADDRESS(income_min_row,COLUMN()) &amp; ":" &amp; ADDRESS(income_max_row, COLUMN())))</f>
        <v>0</v>
      </c>
      <c r="CF20" s="20">
        <f t="array" aca="1" ref="CF20" ca="1">SUM(INDIRECT(ADDRESS(income_min_row,COLUMN()) &amp; ":" &amp; ADDRESS(income_max_row, COLUMN())))</f>
        <v>0</v>
      </c>
      <c r="CG20" s="20">
        <f t="array" aca="1" ref="CG20" ca="1">SUM(INDIRECT(ADDRESS(income_min_row,COLUMN()) &amp; ":" &amp; ADDRESS(income_max_row, COLUMN())))</f>
        <v>0</v>
      </c>
      <c r="CH20" s="20">
        <f t="array" aca="1" ref="CH20" ca="1">SUM(INDIRECT(ADDRESS(income_min_row,COLUMN()) &amp; ":" &amp; ADDRESS(income_max_row, COLUMN())))</f>
        <v>0</v>
      </c>
      <c r="CI20" s="20">
        <f t="array" aca="1" ref="CI20" ca="1">SUM(INDIRECT(ADDRESS(income_min_row,COLUMN()) &amp; ":" &amp; ADDRESS(income_max_row, COLUMN())))</f>
        <v>0</v>
      </c>
      <c r="CK20" s="20">
        <f t="array" aca="1" ref="CK20" ca="1">SUM(INDIRECT(ADDRESS(income_min_row,COLUMN()) &amp; ":" &amp; ADDRESS(income_max_row, COLUMN())))</f>
        <v>0</v>
      </c>
      <c r="CL20" s="20">
        <f t="array" aca="1" ref="CL20" ca="1">SUM(INDIRECT(ADDRESS(income_min_row,COLUMN()) &amp; ":" &amp; ADDRESS(income_max_row, COLUMN())))</f>
        <v>0</v>
      </c>
      <c r="CM20" s="20">
        <f t="array" aca="1" ref="CM20" ca="1">SUM(INDIRECT(ADDRESS(income_min_row,COLUMN()) &amp; ":" &amp; ADDRESS(income_max_row, COLUMN())))</f>
        <v>0</v>
      </c>
      <c r="CN20" s="20">
        <f t="array" aca="1" ref="CN20" ca="1">SUM(INDIRECT(ADDRESS(income_min_row,COLUMN()) &amp; ":" &amp; ADDRESS(income_max_row, COLUMN())))</f>
        <v>0</v>
      </c>
      <c r="CO20" s="20">
        <f t="array" aca="1" ref="CO20" ca="1">SUM(INDIRECT(ADDRESS(income_min_row,COLUMN()) &amp; ":" &amp; ADDRESS(income_max_row, COLUMN())))</f>
        <v>0</v>
      </c>
      <c r="CP20" s="20">
        <f t="array" aca="1" ref="CP20" ca="1">SUM(INDIRECT(ADDRESS(income_min_row,COLUMN()) &amp; ":" &amp; ADDRESS(income_max_row, COLUMN())))</f>
        <v>0</v>
      </c>
      <c r="CQ20" s="20">
        <f t="array" aca="1" ref="CQ20" ca="1">SUM(INDIRECT(ADDRESS(income_min_row,COLUMN()) &amp; ":" &amp; ADDRESS(income_max_row, COLUMN())))</f>
        <v>0</v>
      </c>
      <c r="CR20" s="20">
        <f t="array" aca="1" ref="CR20" ca="1">SUM(INDIRECT(ADDRESS(income_min_row,COLUMN()) &amp; ":" &amp; ADDRESS(income_max_row, COLUMN())))</f>
        <v>0</v>
      </c>
      <c r="CS20" s="20">
        <f t="array" aca="1" ref="CS20" ca="1">SUM(INDIRECT(ADDRESS(income_min_row,COLUMN()) &amp; ":" &amp; ADDRESS(income_max_row, COLUMN())))</f>
        <v>0</v>
      </c>
      <c r="CT20" s="20">
        <f t="array" aca="1" ref="CT20" ca="1">SUM(INDIRECT(ADDRESS(income_min_row,COLUMN()) &amp; ":" &amp; ADDRESS(income_max_row, COLUMN())))</f>
        <v>0</v>
      </c>
      <c r="CU20" s="20">
        <f t="array" aca="1" ref="CU20" ca="1">SUM(INDIRECT(ADDRESS(income_min_row,COLUMN()) &amp; ":" &amp; ADDRESS(income_max_row, COLUMN())))</f>
        <v>0</v>
      </c>
      <c r="CV20" s="20">
        <f t="array" aca="1" ref="CV20" ca="1">SUM(INDIRECT(ADDRESS(income_min_row,COLUMN()) &amp; ":" &amp; ADDRESS(income_max_row, COLUMN())))</f>
        <v>0</v>
      </c>
      <c r="CW20" s="20">
        <f t="array" aca="1" ref="CW20" ca="1">SUM(INDIRECT(ADDRESS(income_min_row,COLUMN()) &amp; ":" &amp; ADDRESS(income_max_row, COLUMN())))</f>
        <v>0</v>
      </c>
      <c r="CY20" s="20">
        <f t="array" aca="1" ref="CY20" ca="1">SUM(INDIRECT(ADDRESS(income_min_row,COLUMN()) &amp; ":" &amp; ADDRESS(income_max_row, COLUMN())))</f>
        <v>0</v>
      </c>
      <c r="CZ20" s="20">
        <f t="array" aca="1" ref="CZ20" ca="1">SUM(INDIRECT(ADDRESS(income_min_row,COLUMN()) &amp; ":" &amp; ADDRESS(income_max_row, COLUMN())))</f>
        <v>0</v>
      </c>
      <c r="DA20" s="20">
        <f t="array" aca="1" ref="DA20" ca="1">SUM(INDIRECT(ADDRESS(income_min_row,COLUMN()) &amp; ":" &amp; ADDRESS(income_max_row, COLUMN())))</f>
        <v>0</v>
      </c>
      <c r="DB20" s="20">
        <f t="array" aca="1" ref="DB20" ca="1">SUM(INDIRECT(ADDRESS(income_min_row,COLUMN()) &amp; ":" &amp; ADDRESS(income_max_row, COLUMN())))</f>
        <v>0</v>
      </c>
      <c r="DC20" s="20">
        <f t="array" aca="1" ref="DC20" ca="1">SUM(INDIRECT(ADDRESS(income_min_row,COLUMN()) &amp; ":" &amp; ADDRESS(income_max_row, COLUMN())))</f>
        <v>0</v>
      </c>
      <c r="DD20" s="20">
        <f t="array" aca="1" ref="DD20" ca="1">SUM(INDIRECT(ADDRESS(income_min_row,COLUMN()) &amp; ":" &amp; ADDRESS(income_max_row, COLUMN())))</f>
        <v>0</v>
      </c>
      <c r="DE20" s="20">
        <f t="array" aca="1" ref="DE20" ca="1">SUM(INDIRECT(ADDRESS(income_min_row,COLUMN()) &amp; ":" &amp; ADDRESS(income_max_row, COLUMN())))</f>
        <v>0</v>
      </c>
      <c r="DF20" s="20">
        <f t="array" aca="1" ref="DF20" ca="1">SUM(INDIRECT(ADDRESS(income_min_row,COLUMN()) &amp; ":" &amp; ADDRESS(income_max_row, COLUMN())))</f>
        <v>0</v>
      </c>
      <c r="DG20" s="20">
        <f t="array" aca="1" ref="DG20" ca="1">SUM(INDIRECT(ADDRESS(income_min_row,COLUMN()) &amp; ":" &amp; ADDRESS(income_max_row, COLUMN())))</f>
        <v>0</v>
      </c>
      <c r="DH20" s="20">
        <f t="array" aca="1" ref="DH20" ca="1">SUM(INDIRECT(ADDRESS(income_min_row,COLUMN()) &amp; ":" &amp; ADDRESS(income_max_row, COLUMN())))</f>
        <v>0</v>
      </c>
      <c r="DI20" s="20">
        <f t="array" aca="1" ref="DI20" ca="1">SUM(INDIRECT(ADDRESS(income_min_row,COLUMN()) &amp; ":" &amp; ADDRESS(income_max_row, COLUMN())))</f>
        <v>0</v>
      </c>
      <c r="DJ20" s="20">
        <f t="array" aca="1" ref="DJ20" ca="1">SUM(INDIRECT(ADDRESS(income_min_row,COLUMN()) &amp; ":" &amp; ADDRESS(income_max_row, COLUMN())))</f>
        <v>0</v>
      </c>
      <c r="DK20" s="20">
        <f t="array" aca="1" ref="DK20" ca="1">SUM(INDIRECT(ADDRESS(income_min_row,COLUMN()) &amp; ":" &amp; ADDRESS(income_max_row, COLUMN())))</f>
        <v>0</v>
      </c>
      <c r="DM20" s="20">
        <f t="array" aca="1" ref="DM20" ca="1">SUM(INDIRECT(ADDRESS(income_min_row,COLUMN()) &amp; ":" &amp; ADDRESS(income_max_row, COLUMN())))</f>
        <v>0</v>
      </c>
      <c r="DN20" s="20">
        <f t="array" aca="1" ref="DN20" ca="1">SUM(INDIRECT(ADDRESS(income_min_row,COLUMN()) &amp; ":" &amp; ADDRESS(income_max_row, COLUMN())))</f>
        <v>0</v>
      </c>
      <c r="DO20" s="20">
        <f t="array" aca="1" ref="DO20" ca="1">SUM(INDIRECT(ADDRESS(income_min_row,COLUMN()) &amp; ":" &amp; ADDRESS(income_max_row, COLUMN())))</f>
        <v>0</v>
      </c>
      <c r="DP20" s="20">
        <f t="array" aca="1" ref="DP20" ca="1">SUM(INDIRECT(ADDRESS(income_min_row,COLUMN()) &amp; ":" &amp; ADDRESS(income_max_row, COLUMN())))</f>
        <v>0</v>
      </c>
      <c r="DQ20" s="20">
        <f t="array" aca="1" ref="DQ20" ca="1">SUM(INDIRECT(ADDRESS(income_min_row,COLUMN()) &amp; ":" &amp; ADDRESS(income_max_row, COLUMN())))</f>
        <v>0</v>
      </c>
      <c r="DR20" s="20">
        <f t="array" aca="1" ref="DR20" ca="1">SUM(INDIRECT(ADDRESS(income_min_row,COLUMN()) &amp; ":" &amp; ADDRESS(income_max_row, COLUMN())))</f>
        <v>0</v>
      </c>
      <c r="DS20" s="20">
        <f t="array" aca="1" ref="DS20" ca="1">SUM(INDIRECT(ADDRESS(income_min_row,COLUMN()) &amp; ":" &amp; ADDRESS(income_max_row, COLUMN())))</f>
        <v>0</v>
      </c>
      <c r="DT20" s="20">
        <f t="array" aca="1" ref="DT20" ca="1">SUM(INDIRECT(ADDRESS(income_min_row,COLUMN()) &amp; ":" &amp; ADDRESS(income_max_row, COLUMN())))</f>
        <v>0</v>
      </c>
      <c r="DU20" s="20">
        <f t="array" aca="1" ref="DU20" ca="1">SUM(INDIRECT(ADDRESS(income_min_row,COLUMN()) &amp; ":" &amp; ADDRESS(income_max_row, COLUMN())))</f>
        <v>0</v>
      </c>
      <c r="DV20" s="20">
        <f t="array" aca="1" ref="DV20" ca="1">SUM(INDIRECT(ADDRESS(income_min_row,COLUMN()) &amp; ":" &amp; ADDRESS(income_max_row, COLUMN())))</f>
        <v>0</v>
      </c>
      <c r="DW20" s="20">
        <f t="array" aca="1" ref="DW20" ca="1">SUM(INDIRECT(ADDRESS(income_min_row,COLUMN()) &amp; ":" &amp; ADDRESS(income_max_row, COLUMN())))</f>
        <v>0</v>
      </c>
      <c r="DX20" s="20">
        <f t="array" aca="1" ref="DX20" ca="1">SUM(INDIRECT(ADDRESS(income_min_row,COLUMN()) &amp; ":" &amp; ADDRESS(income_max_row, COLUMN())))</f>
        <v>0</v>
      </c>
      <c r="DY20" s="20">
        <f t="array" aca="1" ref="DY20" ca="1">SUM(INDIRECT(ADDRESS(income_min_row,COLUMN()) &amp; ":" &amp; ADDRESS(income_max_row, COLUMN())))</f>
        <v>0</v>
      </c>
      <c r="EA20" s="20">
        <f t="array" aca="1" ref="EA20" ca="1">SUM(INDIRECT(ADDRESS(income_min_row,COLUMN()) &amp; ":" &amp; ADDRESS(income_max_row, COLUMN())))</f>
        <v>0</v>
      </c>
      <c r="EB20" s="20">
        <f t="array" aca="1" ref="EB20" ca="1">SUM(INDIRECT(ADDRESS(income_min_row,COLUMN()) &amp; ":" &amp; ADDRESS(income_max_row, COLUMN())))</f>
        <v>0</v>
      </c>
      <c r="EC20" s="20">
        <f t="array" aca="1" ref="EC20" ca="1">SUM(INDIRECT(ADDRESS(income_min_row,COLUMN()) &amp; ":" &amp; ADDRESS(income_max_row, COLUMN())))</f>
        <v>0</v>
      </c>
      <c r="ED20" s="20">
        <f t="array" aca="1" ref="ED20" ca="1">SUM(INDIRECT(ADDRESS(income_min_row,COLUMN()) &amp; ":" &amp; ADDRESS(income_max_row, COLUMN())))</f>
        <v>0</v>
      </c>
      <c r="EE20" s="20">
        <f t="array" aca="1" ref="EE20" ca="1">SUM(INDIRECT(ADDRESS(income_min_row,COLUMN()) &amp; ":" &amp; ADDRESS(income_max_row, COLUMN())))</f>
        <v>0</v>
      </c>
      <c r="EF20" s="20">
        <f t="array" aca="1" ref="EF20" ca="1">SUM(INDIRECT(ADDRESS(income_min_row,COLUMN()) &amp; ":" &amp; ADDRESS(income_max_row, COLUMN())))</f>
        <v>0</v>
      </c>
      <c r="EG20" s="20">
        <f t="array" aca="1" ref="EG20" ca="1">SUM(INDIRECT(ADDRESS(income_min_row,COLUMN()) &amp; ":" &amp; ADDRESS(income_max_row, COLUMN())))</f>
        <v>0</v>
      </c>
      <c r="EH20" s="20">
        <f t="array" aca="1" ref="EH20" ca="1">SUM(INDIRECT(ADDRESS(income_min_row,COLUMN()) &amp; ":" &amp; ADDRESS(income_max_row, COLUMN())))</f>
        <v>0</v>
      </c>
      <c r="EI20" s="20">
        <f t="array" aca="1" ref="EI20" ca="1">SUM(INDIRECT(ADDRESS(income_min_row,COLUMN()) &amp; ":" &amp; ADDRESS(income_max_row, COLUMN())))</f>
        <v>0</v>
      </c>
      <c r="EJ20" s="20">
        <f t="array" aca="1" ref="EJ20" ca="1">SUM(INDIRECT(ADDRESS(income_min_row,COLUMN()) &amp; ":" &amp; ADDRESS(income_max_row, COLUMN())))</f>
        <v>0</v>
      </c>
      <c r="EK20" s="20">
        <f t="array" aca="1" ref="EK20" ca="1">SUM(INDIRECT(ADDRESS(income_min_row,COLUMN()) &amp; ":" &amp; ADDRESS(income_max_row, COLUMN())))</f>
        <v>0</v>
      </c>
      <c r="EL20" s="20">
        <f t="array" aca="1" ref="EL20" ca="1">SUM(INDIRECT(ADDRESS(income_min_row,COLUMN()) &amp; ":" &amp; ADDRESS(income_max_row, COLUMN())))</f>
        <v>0</v>
      </c>
      <c r="EM20" s="20">
        <f t="array" aca="1" ref="EM20" ca="1">SUM(INDIRECT(ADDRESS(income_min_row,COLUMN()) &amp; ":" &amp; ADDRESS(income_max_row, COLUMN())))</f>
        <v>0</v>
      </c>
      <c r="EO20" s="20">
        <f t="array" aca="1" ref="EO20" ca="1">SUM(INDIRECT(ADDRESS(income_min_row,COLUMN()) &amp; ":" &amp; ADDRESS(income_max_row, COLUMN())))</f>
        <v>0</v>
      </c>
      <c r="EP20" s="20">
        <f t="array" aca="1" ref="EP20" ca="1">SUM(INDIRECT(ADDRESS(income_min_row,COLUMN()) &amp; ":" &amp; ADDRESS(income_max_row, COLUMN())))</f>
        <v>0</v>
      </c>
      <c r="EQ20" s="20">
        <f t="array" aca="1" ref="EQ20" ca="1">SUM(INDIRECT(ADDRESS(income_min_row,COLUMN()) &amp; ":" &amp; ADDRESS(income_max_row, COLUMN())))</f>
        <v>0</v>
      </c>
      <c r="ER20" s="20">
        <f t="array" aca="1" ref="ER20" ca="1">SUM(INDIRECT(ADDRESS(income_min_row,COLUMN()) &amp; ":" &amp; ADDRESS(income_max_row, COLUMN())))</f>
        <v>0</v>
      </c>
      <c r="ES20" s="20">
        <f t="array" aca="1" ref="ES20" ca="1">SUM(INDIRECT(ADDRESS(income_min_row,COLUMN()) &amp; ":" &amp; ADDRESS(income_max_row, COLUMN())))</f>
        <v>0</v>
      </c>
      <c r="ET20" s="20">
        <f t="array" aca="1" ref="ET20" ca="1">SUM(INDIRECT(ADDRESS(income_min_row,COLUMN()) &amp; ":" &amp; ADDRESS(income_max_row, COLUMN())))</f>
        <v>0</v>
      </c>
      <c r="EU20" s="20">
        <f t="array" aca="1" ref="EU20" ca="1">SUM(INDIRECT(ADDRESS(income_min_row,COLUMN()) &amp; ":" &amp; ADDRESS(income_max_row, COLUMN())))</f>
        <v>0</v>
      </c>
      <c r="EV20" s="20">
        <f t="array" aca="1" ref="EV20" ca="1">SUM(INDIRECT(ADDRESS(income_min_row,COLUMN()) &amp; ":" &amp; ADDRESS(income_max_row, COLUMN())))</f>
        <v>0</v>
      </c>
      <c r="EW20" s="20">
        <f t="array" aca="1" ref="EW20" ca="1">SUM(INDIRECT(ADDRESS(income_min_row,COLUMN()) &amp; ":" &amp; ADDRESS(income_max_row, COLUMN())))</f>
        <v>0</v>
      </c>
      <c r="EX20" s="20">
        <f t="array" aca="1" ref="EX20" ca="1">SUM(INDIRECT(ADDRESS(income_min_row,COLUMN()) &amp; ":" &amp; ADDRESS(income_max_row, COLUMN())))</f>
        <v>0</v>
      </c>
      <c r="EY20" s="20">
        <f t="array" aca="1" ref="EY20" ca="1">SUM(INDIRECT(ADDRESS(income_min_row,COLUMN()) &amp; ":" &amp; ADDRESS(income_max_row, COLUMN())))</f>
        <v>0</v>
      </c>
      <c r="EZ20" s="20">
        <f t="array" aca="1" ref="EZ20" ca="1">SUM(INDIRECT(ADDRESS(income_min_row,COLUMN()) &amp; ":" &amp; ADDRESS(income_max_row, COLUMN())))</f>
        <v>0</v>
      </c>
      <c r="FA20" s="20">
        <f t="array" aca="1" ref="FA20" ca="1">SUM(INDIRECT(ADDRESS(income_min_row,COLUMN()) &amp; ":" &amp; ADDRESS(income_max_row, COLUMN())))</f>
        <v>0</v>
      </c>
    </row>
    <row r="22" spans="2:157" x14ac:dyDescent="0.3">
      <c r="C22" s="22" t="s">
        <v>8</v>
      </c>
      <c r="E22" s="23">
        <f>DATE(E$5,1,1)</f>
        <v>45658</v>
      </c>
      <c r="F22" s="23">
        <f>DATE(E$5,2,1)</f>
        <v>45689</v>
      </c>
      <c r="G22" s="23">
        <f>DATE(E$5,3,1)</f>
        <v>45717</v>
      </c>
      <c r="H22" s="23">
        <f>DATE(E$5,4,1)</f>
        <v>45748</v>
      </c>
      <c r="I22" s="23">
        <f>DATE(E$5,5,1)</f>
        <v>45778</v>
      </c>
      <c r="J22" s="23">
        <f>DATE(E$5,6,1)</f>
        <v>45809</v>
      </c>
      <c r="K22" s="23">
        <f>DATE(E$5,7,1)</f>
        <v>45839</v>
      </c>
      <c r="L22" s="23">
        <f>DATE(E$5,8,1)</f>
        <v>45870</v>
      </c>
      <c r="M22" s="23">
        <f>DATE(E$5,9,1)</f>
        <v>45901</v>
      </c>
      <c r="N22" s="23">
        <f>DATE(E$5,10,1)</f>
        <v>45931</v>
      </c>
      <c r="O22" s="23">
        <f>DATE(E$5,11,1)</f>
        <v>45962</v>
      </c>
      <c r="P22" s="23">
        <f>DATE(E$5,12,1)</f>
        <v>45992</v>
      </c>
      <c r="Q22" s="24">
        <f>E$5</f>
        <v>2025</v>
      </c>
      <c r="S22" s="23">
        <f>DATE(S$5,1,1)</f>
        <v>46023</v>
      </c>
      <c r="T22" s="23">
        <f>DATE(S$5,2,1)</f>
        <v>46054</v>
      </c>
      <c r="U22" s="23">
        <f>DATE(S$5,3,1)</f>
        <v>46082</v>
      </c>
      <c r="V22" s="23">
        <f>DATE(S$5,4,1)</f>
        <v>46113</v>
      </c>
      <c r="W22" s="23">
        <f>DATE(S$5,5,1)</f>
        <v>46143</v>
      </c>
      <c r="X22" s="23">
        <f>DATE(S$5,6,1)</f>
        <v>46174</v>
      </c>
      <c r="Y22" s="23">
        <f>DATE(S$5,7,1)</f>
        <v>46204</v>
      </c>
      <c r="Z22" s="23">
        <f>DATE(S$5,8,1)</f>
        <v>46235</v>
      </c>
      <c r="AA22" s="23">
        <f>DATE(S$5,9,1)</f>
        <v>46266</v>
      </c>
      <c r="AB22" s="23">
        <f>DATE(S$5,10,1)</f>
        <v>46296</v>
      </c>
      <c r="AC22" s="23">
        <f>DATE(S$5,11,1)</f>
        <v>46327</v>
      </c>
      <c r="AD22" s="23">
        <f>DATE(S$5,12,1)</f>
        <v>46357</v>
      </c>
      <c r="AE22" s="24">
        <f>S$5</f>
        <v>2026</v>
      </c>
      <c r="AG22" s="23">
        <f>DATE(AG$5,1,1)</f>
        <v>46388</v>
      </c>
      <c r="AH22" s="23">
        <f>DATE(AG$5,2,1)</f>
        <v>46419</v>
      </c>
      <c r="AI22" s="23">
        <f>DATE(AG$5,3,1)</f>
        <v>46447</v>
      </c>
      <c r="AJ22" s="23">
        <f>DATE(AG$5,4,1)</f>
        <v>46478</v>
      </c>
      <c r="AK22" s="23">
        <f>DATE(AG$5,5,1)</f>
        <v>46508</v>
      </c>
      <c r="AL22" s="23">
        <f>DATE(AG$5,6,1)</f>
        <v>46539</v>
      </c>
      <c r="AM22" s="23">
        <f>DATE(AG$5,7,1)</f>
        <v>46569</v>
      </c>
      <c r="AN22" s="23">
        <f>DATE(AG$5,8,1)</f>
        <v>46600</v>
      </c>
      <c r="AO22" s="23">
        <f>DATE(AG$5,9,1)</f>
        <v>46631</v>
      </c>
      <c r="AP22" s="23">
        <f>DATE(AG$5,10,1)</f>
        <v>46661</v>
      </c>
      <c r="AQ22" s="23">
        <f>DATE(AG$5,11,1)</f>
        <v>46692</v>
      </c>
      <c r="AR22" s="23">
        <f>DATE(AG$5,12,1)</f>
        <v>46722</v>
      </c>
      <c r="AS22" s="24">
        <f>AG$5</f>
        <v>2027</v>
      </c>
      <c r="AU22" s="23">
        <f>DATE(AU$5,1,1)</f>
        <v>46753</v>
      </c>
      <c r="AV22" s="23">
        <f>DATE(AU$5,2,1)</f>
        <v>46784</v>
      </c>
      <c r="AW22" s="23">
        <f>DATE(AU$5,3,1)</f>
        <v>46813</v>
      </c>
      <c r="AX22" s="23">
        <f>DATE(AU$5,4,1)</f>
        <v>46844</v>
      </c>
      <c r="AY22" s="23">
        <f>DATE(AU$5,5,1)</f>
        <v>46874</v>
      </c>
      <c r="AZ22" s="23">
        <f>DATE(AU$5,6,1)</f>
        <v>46905</v>
      </c>
      <c r="BA22" s="23">
        <f>DATE(AU$5,7,1)</f>
        <v>46935</v>
      </c>
      <c r="BB22" s="23">
        <f>DATE(AU$5,8,1)</f>
        <v>46966</v>
      </c>
      <c r="BC22" s="23">
        <f>DATE(AU$5,9,1)</f>
        <v>46997</v>
      </c>
      <c r="BD22" s="23">
        <f>DATE(AU$5,10,1)</f>
        <v>47027</v>
      </c>
      <c r="BE22" s="23">
        <f>DATE(AU$5,11,1)</f>
        <v>47058</v>
      </c>
      <c r="BF22" s="23">
        <f>DATE(AU$5,12,1)</f>
        <v>47088</v>
      </c>
      <c r="BG22" s="24">
        <f>AU$5</f>
        <v>2028</v>
      </c>
      <c r="BI22" s="23">
        <f>DATE(BI$5,1,1)</f>
        <v>47119</v>
      </c>
      <c r="BJ22" s="23">
        <f>DATE(BI$5,2,1)</f>
        <v>47150</v>
      </c>
      <c r="BK22" s="23">
        <f>DATE(BI$5,3,1)</f>
        <v>47178</v>
      </c>
      <c r="BL22" s="23">
        <f>DATE(BI$5,4,1)</f>
        <v>47209</v>
      </c>
      <c r="BM22" s="23">
        <f>DATE(BI$5,5,1)</f>
        <v>47239</v>
      </c>
      <c r="BN22" s="23">
        <f>DATE(BI$5,6,1)</f>
        <v>47270</v>
      </c>
      <c r="BO22" s="23">
        <f>DATE(BI$5,7,1)</f>
        <v>47300</v>
      </c>
      <c r="BP22" s="23">
        <f>DATE(BI$5,8,1)</f>
        <v>47331</v>
      </c>
      <c r="BQ22" s="23">
        <f>DATE(BI$5,9,1)</f>
        <v>47362</v>
      </c>
      <c r="BR22" s="23">
        <f>DATE(BI$5,10,1)</f>
        <v>47392</v>
      </c>
      <c r="BS22" s="23">
        <f>DATE(BI$5,11,1)</f>
        <v>47423</v>
      </c>
      <c r="BT22" s="23">
        <f>DATE(BI$5,12,1)</f>
        <v>47453</v>
      </c>
      <c r="BU22" s="24">
        <f>BI$5</f>
        <v>2029</v>
      </c>
      <c r="BW22" s="23">
        <f>DATE(BW$5,1,1)</f>
        <v>47484</v>
      </c>
      <c r="BX22" s="23">
        <f>DATE(BW$5,2,1)</f>
        <v>47515</v>
      </c>
      <c r="BY22" s="23">
        <f>DATE(BW$5,3,1)</f>
        <v>47543</v>
      </c>
      <c r="BZ22" s="23">
        <f>DATE(BW$5,4,1)</f>
        <v>47574</v>
      </c>
      <c r="CA22" s="23">
        <f>DATE(BW$5,5,1)</f>
        <v>47604</v>
      </c>
      <c r="CB22" s="23">
        <f>DATE(BW$5,6,1)</f>
        <v>47635</v>
      </c>
      <c r="CC22" s="23">
        <f>DATE(BW$5,7,1)</f>
        <v>47665</v>
      </c>
      <c r="CD22" s="23">
        <f>DATE(BW$5,8,1)</f>
        <v>47696</v>
      </c>
      <c r="CE22" s="23">
        <f>DATE(BW$5,9,1)</f>
        <v>47727</v>
      </c>
      <c r="CF22" s="23">
        <f>DATE(BW$5,10,1)</f>
        <v>47757</v>
      </c>
      <c r="CG22" s="23">
        <f>DATE(BW$5,11,1)</f>
        <v>47788</v>
      </c>
      <c r="CH22" s="23">
        <f>DATE(BW$5,12,1)</f>
        <v>47818</v>
      </c>
      <c r="CI22" s="24">
        <f>BW$5</f>
        <v>2030</v>
      </c>
      <c r="CK22" s="23">
        <f>DATE(CK$5,1,1)</f>
        <v>47849</v>
      </c>
      <c r="CL22" s="23">
        <f>DATE(CK$5,2,1)</f>
        <v>47880</v>
      </c>
      <c r="CM22" s="23">
        <f>DATE(CK$5,3,1)</f>
        <v>47908</v>
      </c>
      <c r="CN22" s="23">
        <f>DATE(CK$5,4,1)</f>
        <v>47939</v>
      </c>
      <c r="CO22" s="23">
        <f>DATE(CK$5,5,1)</f>
        <v>47969</v>
      </c>
      <c r="CP22" s="23">
        <f>DATE(CK$5,6,1)</f>
        <v>48000</v>
      </c>
      <c r="CQ22" s="23">
        <f>DATE(CK$5,7,1)</f>
        <v>48030</v>
      </c>
      <c r="CR22" s="23">
        <f>DATE(CK$5,8,1)</f>
        <v>48061</v>
      </c>
      <c r="CS22" s="23">
        <f>DATE(CK$5,9,1)</f>
        <v>48092</v>
      </c>
      <c r="CT22" s="23">
        <f>DATE(CK$5,10,1)</f>
        <v>48122</v>
      </c>
      <c r="CU22" s="23">
        <f>DATE(CK$5,11,1)</f>
        <v>48153</v>
      </c>
      <c r="CV22" s="23">
        <f>DATE(CK$5,12,1)</f>
        <v>48183</v>
      </c>
      <c r="CW22" s="24">
        <f>CK$5</f>
        <v>2031</v>
      </c>
      <c r="CY22" s="23">
        <f>DATE(CY$5,1,1)</f>
        <v>48214</v>
      </c>
      <c r="CZ22" s="23">
        <f>DATE(CY$5,2,1)</f>
        <v>48245</v>
      </c>
      <c r="DA22" s="23">
        <f>DATE(CY$5,3,1)</f>
        <v>48274</v>
      </c>
      <c r="DB22" s="23">
        <f>DATE(CY$5,4,1)</f>
        <v>48305</v>
      </c>
      <c r="DC22" s="23">
        <f>DATE(CY$5,5,1)</f>
        <v>48335</v>
      </c>
      <c r="DD22" s="23">
        <f>DATE(CY$5,6,1)</f>
        <v>48366</v>
      </c>
      <c r="DE22" s="23">
        <f>DATE(CY$5,7,1)</f>
        <v>48396</v>
      </c>
      <c r="DF22" s="23">
        <f>DATE(CY$5,8,1)</f>
        <v>48427</v>
      </c>
      <c r="DG22" s="23">
        <f>DATE(CY$5,9,1)</f>
        <v>48458</v>
      </c>
      <c r="DH22" s="23">
        <f>DATE(CY$5,10,1)</f>
        <v>48488</v>
      </c>
      <c r="DI22" s="23">
        <f>DATE(CY$5,11,1)</f>
        <v>48519</v>
      </c>
      <c r="DJ22" s="23">
        <f>DATE(CY$5,12,1)</f>
        <v>48549</v>
      </c>
      <c r="DK22" s="24">
        <f>CY$5</f>
        <v>2032</v>
      </c>
      <c r="DM22" s="23">
        <f>DATE(DM$5,1,1)</f>
        <v>48580</v>
      </c>
      <c r="DN22" s="23">
        <f>DATE(DM$5,2,1)</f>
        <v>48611</v>
      </c>
      <c r="DO22" s="23">
        <f>DATE(DM$5,3,1)</f>
        <v>48639</v>
      </c>
      <c r="DP22" s="23">
        <f>DATE(DM$5,4,1)</f>
        <v>48670</v>
      </c>
      <c r="DQ22" s="23">
        <f>DATE(DM$5,5,1)</f>
        <v>48700</v>
      </c>
      <c r="DR22" s="23">
        <f>DATE(DM$5,6,1)</f>
        <v>48731</v>
      </c>
      <c r="DS22" s="23">
        <f>DATE(DM$5,7,1)</f>
        <v>48761</v>
      </c>
      <c r="DT22" s="23">
        <f>DATE(DM$5,8,1)</f>
        <v>48792</v>
      </c>
      <c r="DU22" s="23">
        <f>DATE(DM$5,9,1)</f>
        <v>48823</v>
      </c>
      <c r="DV22" s="23">
        <f>DATE(DM$5,10,1)</f>
        <v>48853</v>
      </c>
      <c r="DW22" s="23">
        <f>DATE(DM$5,11,1)</f>
        <v>48884</v>
      </c>
      <c r="DX22" s="23">
        <f>DATE(DM$5,12,1)</f>
        <v>48914</v>
      </c>
      <c r="DY22" s="24">
        <f>DM$5</f>
        <v>2033</v>
      </c>
      <c r="EA22" s="23">
        <f>DATE(EA$5,1,1)</f>
        <v>48945</v>
      </c>
      <c r="EB22" s="23">
        <f>DATE(EA$5,2,1)</f>
        <v>48976</v>
      </c>
      <c r="EC22" s="23">
        <f>DATE(EA$5,3,1)</f>
        <v>49004</v>
      </c>
      <c r="ED22" s="23">
        <f>DATE(EA$5,4,1)</f>
        <v>49035</v>
      </c>
      <c r="EE22" s="23">
        <f>DATE(EA$5,5,1)</f>
        <v>49065</v>
      </c>
      <c r="EF22" s="23">
        <f>DATE(EA$5,6,1)</f>
        <v>49096</v>
      </c>
      <c r="EG22" s="23">
        <f>DATE(EA$5,7,1)</f>
        <v>49126</v>
      </c>
      <c r="EH22" s="23">
        <f>DATE(EA$5,8,1)</f>
        <v>49157</v>
      </c>
      <c r="EI22" s="23">
        <f>DATE(EA$5,9,1)</f>
        <v>49188</v>
      </c>
      <c r="EJ22" s="23">
        <f>DATE(EA$5,10,1)</f>
        <v>49218</v>
      </c>
      <c r="EK22" s="23">
        <f>DATE(EA$5,11,1)</f>
        <v>49249</v>
      </c>
      <c r="EL22" s="23">
        <f>DATE(EA$5,12,1)</f>
        <v>49279</v>
      </c>
      <c r="EM22" s="24">
        <f>EA$5</f>
        <v>2034</v>
      </c>
      <c r="EO22" s="23">
        <f>DATE(EO$5,1,1)</f>
        <v>49310</v>
      </c>
      <c r="EP22" s="23">
        <f>DATE(EO$5,2,1)</f>
        <v>49341</v>
      </c>
      <c r="EQ22" s="23">
        <f>DATE(EO$5,3,1)</f>
        <v>49369</v>
      </c>
      <c r="ER22" s="23">
        <f>DATE(EO$5,4,1)</f>
        <v>49400</v>
      </c>
      <c r="ES22" s="23">
        <f>DATE(EO$5,5,1)</f>
        <v>49430</v>
      </c>
      <c r="ET22" s="23">
        <f>DATE(EO$5,6,1)</f>
        <v>49461</v>
      </c>
      <c r="EU22" s="23">
        <f>DATE(EO$5,7,1)</f>
        <v>49491</v>
      </c>
      <c r="EV22" s="23">
        <f>DATE(EO$5,8,1)</f>
        <v>49522</v>
      </c>
      <c r="EW22" s="23">
        <f>DATE(EO$5,9,1)</f>
        <v>49553</v>
      </c>
      <c r="EX22" s="23">
        <f>DATE(EO$5,10,1)</f>
        <v>49583</v>
      </c>
      <c r="EY22" s="23">
        <f>DATE(EO$5,11,1)</f>
        <v>49614</v>
      </c>
      <c r="EZ22" s="23">
        <f>DATE(EO$5,12,1)</f>
        <v>49644</v>
      </c>
      <c r="FA22" s="24">
        <f>EO$5</f>
        <v>2035</v>
      </c>
    </row>
    <row r="23" spans="2:157" x14ac:dyDescent="0.3">
      <c r="C23" s="138" t="s">
        <v>101</v>
      </c>
      <c r="D23" s="139"/>
      <c r="E23" s="140">
        <v>200</v>
      </c>
      <c r="F23" s="140">
        <v>200</v>
      </c>
      <c r="G23" s="140">
        <v>200</v>
      </c>
      <c r="H23" s="140">
        <v>200</v>
      </c>
      <c r="I23" s="140">
        <v>200</v>
      </c>
      <c r="J23" s="140">
        <v>200</v>
      </c>
      <c r="K23" s="140">
        <v>200</v>
      </c>
      <c r="L23" s="140">
        <v>200</v>
      </c>
      <c r="M23" s="140">
        <v>200</v>
      </c>
      <c r="N23" s="140">
        <v>200</v>
      </c>
      <c r="O23" s="140">
        <v>200</v>
      </c>
      <c r="P23" s="140">
        <v>200</v>
      </c>
      <c r="Q23" s="141">
        <f t="shared" ref="Q23:Q32" si="22">SUM(E23:P23)</f>
        <v>2400</v>
      </c>
      <c r="R23" s="139"/>
      <c r="S23" s="140"/>
      <c r="T23" s="140"/>
      <c r="U23" s="140"/>
      <c r="V23" s="140"/>
      <c r="W23" s="140"/>
      <c r="X23" s="140"/>
      <c r="Y23" s="140"/>
      <c r="Z23" s="140"/>
      <c r="AA23" s="140"/>
      <c r="AB23" s="140"/>
      <c r="AC23" s="140"/>
      <c r="AD23" s="140"/>
      <c r="AE23" s="141">
        <f t="shared" ref="AE23:AE32" si="23">SUM(S23:AD23)</f>
        <v>0</v>
      </c>
      <c r="AF23" s="139"/>
      <c r="AG23" s="140"/>
      <c r="AH23" s="140"/>
      <c r="AI23" s="140"/>
      <c r="AJ23" s="140"/>
      <c r="AK23" s="140"/>
      <c r="AL23" s="140"/>
      <c r="AM23" s="140"/>
      <c r="AN23" s="140"/>
      <c r="AO23" s="140"/>
      <c r="AP23" s="140"/>
      <c r="AQ23" s="140"/>
      <c r="AR23" s="140"/>
      <c r="AS23" s="141">
        <f t="shared" ref="AS23:AS32" si="24">SUM(AG23:AR23)</f>
        <v>0</v>
      </c>
      <c r="AT23" s="139"/>
      <c r="AU23" s="140"/>
      <c r="AV23" s="140"/>
      <c r="AW23" s="140"/>
      <c r="AX23" s="140"/>
      <c r="AY23" s="140"/>
      <c r="AZ23" s="140"/>
      <c r="BA23" s="140"/>
      <c r="BB23" s="140"/>
      <c r="BC23" s="140"/>
      <c r="BD23" s="140"/>
      <c r="BE23" s="140"/>
      <c r="BF23" s="140"/>
      <c r="BG23" s="141">
        <f t="shared" ref="BG23:BG32" si="25">SUM(AU23:BF23)</f>
        <v>0</v>
      </c>
      <c r="BH23" s="139"/>
      <c r="BI23" s="140"/>
      <c r="BJ23" s="140"/>
      <c r="BK23" s="140"/>
      <c r="BL23" s="140"/>
      <c r="BM23" s="140"/>
      <c r="BN23" s="140"/>
      <c r="BO23" s="140"/>
      <c r="BP23" s="140"/>
      <c r="BQ23" s="140"/>
      <c r="BR23" s="140"/>
      <c r="BS23" s="140"/>
      <c r="BT23" s="140"/>
      <c r="BU23" s="141">
        <f t="shared" ref="BU23:BU32" si="26">SUM(BI23:BT23)</f>
        <v>0</v>
      </c>
      <c r="BV23" s="139"/>
      <c r="BW23" s="140"/>
      <c r="BX23" s="140"/>
      <c r="BY23" s="140"/>
      <c r="BZ23" s="140"/>
      <c r="CA23" s="140"/>
      <c r="CB23" s="140"/>
      <c r="CC23" s="140"/>
      <c r="CD23" s="140"/>
      <c r="CE23" s="140"/>
      <c r="CF23" s="140"/>
      <c r="CG23" s="140"/>
      <c r="CH23" s="140"/>
      <c r="CI23" s="141">
        <f t="shared" ref="CI23:CI32" si="27">SUM(BW23:CH23)</f>
        <v>0</v>
      </c>
      <c r="CJ23" s="139"/>
      <c r="CK23" s="140"/>
      <c r="CL23" s="140"/>
      <c r="CM23" s="140"/>
      <c r="CN23" s="140"/>
      <c r="CO23" s="140"/>
      <c r="CP23" s="140"/>
      <c r="CQ23" s="140"/>
      <c r="CR23" s="140"/>
      <c r="CS23" s="140"/>
      <c r="CT23" s="140"/>
      <c r="CU23" s="140"/>
      <c r="CV23" s="140"/>
      <c r="CW23" s="141">
        <f t="shared" ref="CW23:CW32" si="28">SUM(CK23:CV23)</f>
        <v>0</v>
      </c>
      <c r="CX23" s="139"/>
      <c r="CY23" s="140"/>
      <c r="CZ23" s="140"/>
      <c r="DA23" s="140"/>
      <c r="DB23" s="140"/>
      <c r="DC23" s="140"/>
      <c r="DD23" s="140"/>
      <c r="DE23" s="140"/>
      <c r="DF23" s="140"/>
      <c r="DG23" s="140"/>
      <c r="DH23" s="140"/>
      <c r="DI23" s="140"/>
      <c r="DJ23" s="140"/>
      <c r="DK23" s="141">
        <f t="shared" ref="DK23:DK32" si="29">SUM(CY23:DJ23)</f>
        <v>0</v>
      </c>
      <c r="DL23" s="139"/>
      <c r="DM23" s="140"/>
      <c r="DN23" s="140"/>
      <c r="DO23" s="140"/>
      <c r="DP23" s="140"/>
      <c r="DQ23" s="140"/>
      <c r="DR23" s="140"/>
      <c r="DS23" s="140"/>
      <c r="DT23" s="140"/>
      <c r="DU23" s="140"/>
      <c r="DV23" s="140"/>
      <c r="DW23" s="140"/>
      <c r="DX23" s="140"/>
      <c r="DY23" s="141">
        <f t="shared" ref="DY23:DY32" si="30">SUM(DM23:DX23)</f>
        <v>0</v>
      </c>
      <c r="DZ23" s="139"/>
      <c r="EA23" s="140"/>
      <c r="EB23" s="140"/>
      <c r="EC23" s="140"/>
      <c r="ED23" s="140"/>
      <c r="EE23" s="140"/>
      <c r="EF23" s="140"/>
      <c r="EG23" s="140"/>
      <c r="EH23" s="140"/>
      <c r="EI23" s="140"/>
      <c r="EJ23" s="140"/>
      <c r="EK23" s="140"/>
      <c r="EL23" s="140"/>
      <c r="EM23" s="141">
        <f t="shared" ref="EM23:EM32" si="31">SUM(EA23:EL23)</f>
        <v>0</v>
      </c>
      <c r="EN23" s="139"/>
      <c r="EO23" s="140"/>
      <c r="EP23" s="140"/>
      <c r="EQ23" s="140"/>
      <c r="ER23" s="140"/>
      <c r="ES23" s="140"/>
      <c r="ET23" s="140"/>
      <c r="EU23" s="140"/>
      <c r="EV23" s="140"/>
      <c r="EW23" s="140"/>
      <c r="EX23" s="140"/>
      <c r="EY23" s="140"/>
      <c r="EZ23" s="140"/>
      <c r="FA23" s="141">
        <f t="shared" ref="FA23:FA32" si="32">SUM(EO23:EZ23)</f>
        <v>0</v>
      </c>
    </row>
    <row r="24" spans="2:157" x14ac:dyDescent="0.3">
      <c r="B24"/>
      <c r="C24" s="138" t="s">
        <v>11</v>
      </c>
      <c r="D24" s="139"/>
      <c r="E24" s="140">
        <v>2</v>
      </c>
      <c r="F24" s="140">
        <v>2</v>
      </c>
      <c r="G24" s="140">
        <v>2</v>
      </c>
      <c r="H24" s="140">
        <v>2</v>
      </c>
      <c r="I24" s="140">
        <v>2</v>
      </c>
      <c r="J24" s="140">
        <v>2</v>
      </c>
      <c r="K24" s="140">
        <v>2</v>
      </c>
      <c r="L24" s="140">
        <v>2</v>
      </c>
      <c r="M24" s="140">
        <v>2</v>
      </c>
      <c r="N24" s="140">
        <v>2</v>
      </c>
      <c r="O24" s="140">
        <v>2</v>
      </c>
      <c r="P24" s="140">
        <v>2</v>
      </c>
      <c r="Q24" s="141">
        <f t="shared" si="22"/>
        <v>24</v>
      </c>
      <c r="R24" s="139"/>
      <c r="S24" s="140"/>
      <c r="T24" s="140"/>
      <c r="U24" s="140"/>
      <c r="V24" s="140"/>
      <c r="W24" s="140"/>
      <c r="X24" s="140"/>
      <c r="Y24" s="140"/>
      <c r="Z24" s="140"/>
      <c r="AA24" s="140"/>
      <c r="AB24" s="140"/>
      <c r="AC24" s="140"/>
      <c r="AD24" s="140"/>
      <c r="AE24" s="141">
        <f t="shared" si="23"/>
        <v>0</v>
      </c>
      <c r="AF24" s="139"/>
      <c r="AG24" s="140"/>
      <c r="AH24" s="140"/>
      <c r="AI24" s="140"/>
      <c r="AJ24" s="140"/>
      <c r="AK24" s="140"/>
      <c r="AL24" s="140"/>
      <c r="AM24" s="140"/>
      <c r="AN24" s="140"/>
      <c r="AO24" s="140"/>
      <c r="AP24" s="140"/>
      <c r="AQ24" s="140"/>
      <c r="AR24" s="140"/>
      <c r="AS24" s="141">
        <f t="shared" si="24"/>
        <v>0</v>
      </c>
      <c r="AT24" s="139"/>
      <c r="AU24" s="140"/>
      <c r="AV24" s="140"/>
      <c r="AW24" s="140"/>
      <c r="AX24" s="140"/>
      <c r="AY24" s="140"/>
      <c r="AZ24" s="140"/>
      <c r="BA24" s="140"/>
      <c r="BB24" s="140"/>
      <c r="BC24" s="140"/>
      <c r="BD24" s="140"/>
      <c r="BE24" s="140"/>
      <c r="BF24" s="140"/>
      <c r="BG24" s="141">
        <f t="shared" si="25"/>
        <v>0</v>
      </c>
      <c r="BH24" s="139"/>
      <c r="BI24" s="140"/>
      <c r="BJ24" s="140"/>
      <c r="BK24" s="140"/>
      <c r="BL24" s="140"/>
      <c r="BM24" s="140"/>
      <c r="BN24" s="140"/>
      <c r="BO24" s="140"/>
      <c r="BP24" s="140"/>
      <c r="BQ24" s="140"/>
      <c r="BR24" s="140"/>
      <c r="BS24" s="140"/>
      <c r="BT24" s="140"/>
      <c r="BU24" s="141">
        <f t="shared" si="26"/>
        <v>0</v>
      </c>
      <c r="BV24" s="139"/>
      <c r="BW24" s="140"/>
      <c r="BX24" s="140"/>
      <c r="BY24" s="140"/>
      <c r="BZ24" s="140"/>
      <c r="CA24" s="140"/>
      <c r="CB24" s="140"/>
      <c r="CC24" s="140"/>
      <c r="CD24" s="140"/>
      <c r="CE24" s="140"/>
      <c r="CF24" s="140"/>
      <c r="CG24" s="140"/>
      <c r="CH24" s="140"/>
      <c r="CI24" s="141">
        <f t="shared" si="27"/>
        <v>0</v>
      </c>
      <c r="CJ24" s="139"/>
      <c r="CK24" s="140"/>
      <c r="CL24" s="140"/>
      <c r="CM24" s="140"/>
      <c r="CN24" s="140"/>
      <c r="CO24" s="140"/>
      <c r="CP24" s="140"/>
      <c r="CQ24" s="140"/>
      <c r="CR24" s="140"/>
      <c r="CS24" s="140"/>
      <c r="CT24" s="140"/>
      <c r="CU24" s="140"/>
      <c r="CV24" s="140"/>
      <c r="CW24" s="141">
        <f t="shared" si="28"/>
        <v>0</v>
      </c>
      <c r="CX24" s="139"/>
      <c r="CY24" s="140"/>
      <c r="CZ24" s="140"/>
      <c r="DA24" s="140"/>
      <c r="DB24" s="140"/>
      <c r="DC24" s="140"/>
      <c r="DD24" s="140"/>
      <c r="DE24" s="140"/>
      <c r="DF24" s="140"/>
      <c r="DG24" s="140"/>
      <c r="DH24" s="140"/>
      <c r="DI24" s="140"/>
      <c r="DJ24" s="140"/>
      <c r="DK24" s="141">
        <f t="shared" si="29"/>
        <v>0</v>
      </c>
      <c r="DL24" s="139"/>
      <c r="DM24" s="140"/>
      <c r="DN24" s="140"/>
      <c r="DO24" s="140"/>
      <c r="DP24" s="140"/>
      <c r="DQ24" s="140"/>
      <c r="DR24" s="140"/>
      <c r="DS24" s="140"/>
      <c r="DT24" s="140"/>
      <c r="DU24" s="140"/>
      <c r="DV24" s="140"/>
      <c r="DW24" s="140"/>
      <c r="DX24" s="140"/>
      <c r="DY24" s="141">
        <f t="shared" si="30"/>
        <v>0</v>
      </c>
      <c r="DZ24" s="139"/>
      <c r="EA24" s="140"/>
      <c r="EB24" s="140"/>
      <c r="EC24" s="140"/>
      <c r="ED24" s="140"/>
      <c r="EE24" s="140"/>
      <c r="EF24" s="140"/>
      <c r="EG24" s="140"/>
      <c r="EH24" s="140"/>
      <c r="EI24" s="140"/>
      <c r="EJ24" s="140"/>
      <c r="EK24" s="140"/>
      <c r="EL24" s="140"/>
      <c r="EM24" s="141">
        <f t="shared" si="31"/>
        <v>0</v>
      </c>
      <c r="EN24" s="139"/>
      <c r="EO24" s="140"/>
      <c r="EP24" s="140"/>
      <c r="EQ24" s="140"/>
      <c r="ER24" s="140"/>
      <c r="ES24" s="140"/>
      <c r="ET24" s="140"/>
      <c r="EU24" s="140"/>
      <c r="EV24" s="140"/>
      <c r="EW24" s="140"/>
      <c r="EX24" s="140"/>
      <c r="EY24" s="140"/>
      <c r="EZ24" s="140"/>
      <c r="FA24" s="141">
        <f t="shared" si="32"/>
        <v>0</v>
      </c>
    </row>
    <row r="25" spans="2:157" x14ac:dyDescent="0.3">
      <c r="C25" s="138" t="s">
        <v>102</v>
      </c>
      <c r="D25" s="139"/>
      <c r="E25" s="140">
        <v>3.5</v>
      </c>
      <c r="F25" s="140">
        <v>3.5</v>
      </c>
      <c r="G25" s="140">
        <v>3.5</v>
      </c>
      <c r="H25" s="140">
        <v>3.5</v>
      </c>
      <c r="I25" s="140">
        <v>3.5</v>
      </c>
      <c r="J25" s="140">
        <v>3.5</v>
      </c>
      <c r="K25" s="140">
        <v>3.5</v>
      </c>
      <c r="L25" s="140">
        <v>3.5</v>
      </c>
      <c r="M25" s="140">
        <v>3.5</v>
      </c>
      <c r="N25" s="140">
        <v>3.5</v>
      </c>
      <c r="O25" s="140">
        <v>3.5</v>
      </c>
      <c r="P25" s="140">
        <v>3.5</v>
      </c>
      <c r="Q25" s="141">
        <f t="shared" si="22"/>
        <v>42</v>
      </c>
      <c r="R25" s="139"/>
      <c r="S25" s="140"/>
      <c r="T25" s="140"/>
      <c r="U25" s="140"/>
      <c r="V25" s="140"/>
      <c r="W25" s="140"/>
      <c r="X25" s="140"/>
      <c r="Y25" s="140"/>
      <c r="Z25" s="140"/>
      <c r="AA25" s="140"/>
      <c r="AB25" s="140"/>
      <c r="AC25" s="140"/>
      <c r="AD25" s="140"/>
      <c r="AE25" s="141">
        <f t="shared" si="23"/>
        <v>0</v>
      </c>
      <c r="AF25" s="139"/>
      <c r="AG25" s="140"/>
      <c r="AH25" s="140"/>
      <c r="AI25" s="140"/>
      <c r="AJ25" s="140"/>
      <c r="AK25" s="140"/>
      <c r="AL25" s="140"/>
      <c r="AM25" s="140"/>
      <c r="AN25" s="140"/>
      <c r="AO25" s="140"/>
      <c r="AP25" s="140"/>
      <c r="AQ25" s="140"/>
      <c r="AR25" s="140"/>
      <c r="AS25" s="141">
        <f t="shared" si="24"/>
        <v>0</v>
      </c>
      <c r="AT25" s="139"/>
      <c r="AU25" s="140"/>
      <c r="AV25" s="140"/>
      <c r="AW25" s="140"/>
      <c r="AX25" s="140"/>
      <c r="AY25" s="140"/>
      <c r="AZ25" s="140"/>
      <c r="BA25" s="140"/>
      <c r="BB25" s="140"/>
      <c r="BC25" s="140"/>
      <c r="BD25" s="140"/>
      <c r="BE25" s="140"/>
      <c r="BF25" s="140"/>
      <c r="BG25" s="141">
        <f t="shared" si="25"/>
        <v>0</v>
      </c>
      <c r="BH25" s="139"/>
      <c r="BI25" s="140"/>
      <c r="BJ25" s="140"/>
      <c r="BK25" s="140"/>
      <c r="BL25" s="140"/>
      <c r="BM25" s="140"/>
      <c r="BN25" s="140"/>
      <c r="BO25" s="140"/>
      <c r="BP25" s="140"/>
      <c r="BQ25" s="140"/>
      <c r="BR25" s="140"/>
      <c r="BS25" s="140"/>
      <c r="BT25" s="140"/>
      <c r="BU25" s="141">
        <f t="shared" si="26"/>
        <v>0</v>
      </c>
      <c r="BV25" s="139"/>
      <c r="BW25" s="140"/>
      <c r="BX25" s="140"/>
      <c r="BY25" s="140"/>
      <c r="BZ25" s="140"/>
      <c r="CA25" s="140"/>
      <c r="CB25" s="140"/>
      <c r="CC25" s="140"/>
      <c r="CD25" s="140"/>
      <c r="CE25" s="140"/>
      <c r="CF25" s="140"/>
      <c r="CG25" s="140"/>
      <c r="CH25" s="140"/>
      <c r="CI25" s="141">
        <f t="shared" si="27"/>
        <v>0</v>
      </c>
      <c r="CJ25" s="139"/>
      <c r="CK25" s="140"/>
      <c r="CL25" s="140"/>
      <c r="CM25" s="140"/>
      <c r="CN25" s="140"/>
      <c r="CO25" s="140"/>
      <c r="CP25" s="140"/>
      <c r="CQ25" s="140"/>
      <c r="CR25" s="140"/>
      <c r="CS25" s="140"/>
      <c r="CT25" s="140"/>
      <c r="CU25" s="140"/>
      <c r="CV25" s="140"/>
      <c r="CW25" s="141">
        <f t="shared" si="28"/>
        <v>0</v>
      </c>
      <c r="CX25" s="139"/>
      <c r="CY25" s="140"/>
      <c r="CZ25" s="140"/>
      <c r="DA25" s="140"/>
      <c r="DB25" s="140"/>
      <c r="DC25" s="140"/>
      <c r="DD25" s="140"/>
      <c r="DE25" s="140"/>
      <c r="DF25" s="140"/>
      <c r="DG25" s="140"/>
      <c r="DH25" s="140"/>
      <c r="DI25" s="140"/>
      <c r="DJ25" s="140"/>
      <c r="DK25" s="141">
        <f t="shared" si="29"/>
        <v>0</v>
      </c>
      <c r="DL25" s="139"/>
      <c r="DM25" s="140"/>
      <c r="DN25" s="140"/>
      <c r="DO25" s="140"/>
      <c r="DP25" s="140"/>
      <c r="DQ25" s="140"/>
      <c r="DR25" s="140"/>
      <c r="DS25" s="140"/>
      <c r="DT25" s="140"/>
      <c r="DU25" s="140"/>
      <c r="DV25" s="140"/>
      <c r="DW25" s="140"/>
      <c r="DX25" s="140"/>
      <c r="DY25" s="141">
        <f t="shared" si="30"/>
        <v>0</v>
      </c>
      <c r="DZ25" s="139"/>
      <c r="EA25" s="140"/>
      <c r="EB25" s="140"/>
      <c r="EC25" s="140"/>
      <c r="ED25" s="140"/>
      <c r="EE25" s="140"/>
      <c r="EF25" s="140"/>
      <c r="EG25" s="140"/>
      <c r="EH25" s="140"/>
      <c r="EI25" s="140"/>
      <c r="EJ25" s="140"/>
      <c r="EK25" s="140"/>
      <c r="EL25" s="140"/>
      <c r="EM25" s="141">
        <f t="shared" si="31"/>
        <v>0</v>
      </c>
      <c r="EN25" s="139"/>
      <c r="EO25" s="140"/>
      <c r="EP25" s="140"/>
      <c r="EQ25" s="140"/>
      <c r="ER25" s="140"/>
      <c r="ES25" s="140"/>
      <c r="ET25" s="140"/>
      <c r="EU25" s="140"/>
      <c r="EV25" s="140"/>
      <c r="EW25" s="140"/>
      <c r="EX25" s="140"/>
      <c r="EY25" s="140"/>
      <c r="EZ25" s="140"/>
      <c r="FA25" s="141">
        <f t="shared" si="32"/>
        <v>0</v>
      </c>
    </row>
    <row r="26" spans="2:157" x14ac:dyDescent="0.3">
      <c r="C26" s="138" t="s">
        <v>103</v>
      </c>
      <c r="D26" s="139"/>
      <c r="E26" s="140"/>
      <c r="F26" s="140"/>
      <c r="G26" s="140"/>
      <c r="H26" s="140"/>
      <c r="I26" s="140"/>
      <c r="J26" s="140"/>
      <c r="K26" s="140"/>
      <c r="L26" s="140"/>
      <c r="M26" s="140"/>
      <c r="N26" s="140"/>
      <c r="O26" s="140"/>
      <c r="P26" s="140"/>
      <c r="Q26" s="141">
        <f t="shared" si="22"/>
        <v>0</v>
      </c>
      <c r="R26" s="139"/>
      <c r="S26" s="140"/>
      <c r="T26" s="140"/>
      <c r="U26" s="140"/>
      <c r="V26" s="140"/>
      <c r="W26" s="140"/>
      <c r="X26" s="140"/>
      <c r="Y26" s="140"/>
      <c r="Z26" s="140"/>
      <c r="AA26" s="140"/>
      <c r="AB26" s="140"/>
      <c r="AC26" s="140"/>
      <c r="AD26" s="140"/>
      <c r="AE26" s="141">
        <f t="shared" si="23"/>
        <v>0</v>
      </c>
      <c r="AF26" s="139"/>
      <c r="AG26" s="140"/>
      <c r="AH26" s="140"/>
      <c r="AI26" s="140"/>
      <c r="AJ26" s="140"/>
      <c r="AK26" s="140"/>
      <c r="AL26" s="140"/>
      <c r="AM26" s="140"/>
      <c r="AN26" s="140"/>
      <c r="AO26" s="140"/>
      <c r="AP26" s="140"/>
      <c r="AQ26" s="140"/>
      <c r="AR26" s="140"/>
      <c r="AS26" s="141">
        <f t="shared" si="24"/>
        <v>0</v>
      </c>
      <c r="AT26" s="139"/>
      <c r="AU26" s="140"/>
      <c r="AV26" s="140"/>
      <c r="AW26" s="140"/>
      <c r="AX26" s="140"/>
      <c r="AY26" s="140"/>
      <c r="AZ26" s="140"/>
      <c r="BA26" s="140"/>
      <c r="BB26" s="140"/>
      <c r="BC26" s="140"/>
      <c r="BD26" s="140"/>
      <c r="BE26" s="140"/>
      <c r="BF26" s="140"/>
      <c r="BG26" s="141">
        <f t="shared" si="25"/>
        <v>0</v>
      </c>
      <c r="BH26" s="139"/>
      <c r="BI26" s="140"/>
      <c r="BJ26" s="140"/>
      <c r="BK26" s="140"/>
      <c r="BL26" s="140"/>
      <c r="BM26" s="140"/>
      <c r="BN26" s="140"/>
      <c r="BO26" s="140"/>
      <c r="BP26" s="140"/>
      <c r="BQ26" s="140"/>
      <c r="BR26" s="140"/>
      <c r="BS26" s="140"/>
      <c r="BT26" s="140"/>
      <c r="BU26" s="141">
        <f t="shared" si="26"/>
        <v>0</v>
      </c>
      <c r="BV26" s="139"/>
      <c r="BW26" s="140"/>
      <c r="BX26" s="140"/>
      <c r="BY26" s="140"/>
      <c r="BZ26" s="140"/>
      <c r="CA26" s="140"/>
      <c r="CB26" s="140"/>
      <c r="CC26" s="140"/>
      <c r="CD26" s="140"/>
      <c r="CE26" s="140"/>
      <c r="CF26" s="140"/>
      <c r="CG26" s="140"/>
      <c r="CH26" s="140"/>
      <c r="CI26" s="141">
        <f t="shared" si="27"/>
        <v>0</v>
      </c>
      <c r="CJ26" s="139"/>
      <c r="CK26" s="140"/>
      <c r="CL26" s="140"/>
      <c r="CM26" s="140"/>
      <c r="CN26" s="140"/>
      <c r="CO26" s="140"/>
      <c r="CP26" s="140"/>
      <c r="CQ26" s="140"/>
      <c r="CR26" s="140"/>
      <c r="CS26" s="140"/>
      <c r="CT26" s="140"/>
      <c r="CU26" s="140"/>
      <c r="CV26" s="140"/>
      <c r="CW26" s="141">
        <f t="shared" si="28"/>
        <v>0</v>
      </c>
      <c r="CX26" s="139"/>
      <c r="CY26" s="140"/>
      <c r="CZ26" s="140"/>
      <c r="DA26" s="140"/>
      <c r="DB26" s="140"/>
      <c r="DC26" s="140"/>
      <c r="DD26" s="140"/>
      <c r="DE26" s="140"/>
      <c r="DF26" s="140"/>
      <c r="DG26" s="140"/>
      <c r="DH26" s="140"/>
      <c r="DI26" s="140"/>
      <c r="DJ26" s="140"/>
      <c r="DK26" s="141">
        <f t="shared" si="29"/>
        <v>0</v>
      </c>
      <c r="DL26" s="139"/>
      <c r="DM26" s="140"/>
      <c r="DN26" s="140"/>
      <c r="DO26" s="140"/>
      <c r="DP26" s="140"/>
      <c r="DQ26" s="140"/>
      <c r="DR26" s="140"/>
      <c r="DS26" s="140"/>
      <c r="DT26" s="140"/>
      <c r="DU26" s="140"/>
      <c r="DV26" s="140"/>
      <c r="DW26" s="140"/>
      <c r="DX26" s="140"/>
      <c r="DY26" s="141">
        <f t="shared" si="30"/>
        <v>0</v>
      </c>
      <c r="DZ26" s="139"/>
      <c r="EA26" s="140"/>
      <c r="EB26" s="140"/>
      <c r="EC26" s="140"/>
      <c r="ED26" s="140"/>
      <c r="EE26" s="140"/>
      <c r="EF26" s="140"/>
      <c r="EG26" s="140"/>
      <c r="EH26" s="140"/>
      <c r="EI26" s="140"/>
      <c r="EJ26" s="140"/>
      <c r="EK26" s="140"/>
      <c r="EL26" s="140"/>
      <c r="EM26" s="141">
        <f t="shared" si="31"/>
        <v>0</v>
      </c>
      <c r="EN26" s="139"/>
      <c r="EO26" s="140"/>
      <c r="EP26" s="140"/>
      <c r="EQ26" s="140"/>
      <c r="ER26" s="140"/>
      <c r="ES26" s="140"/>
      <c r="ET26" s="140"/>
      <c r="EU26" s="140"/>
      <c r="EV26" s="140"/>
      <c r="EW26" s="140"/>
      <c r="EX26" s="140"/>
      <c r="EY26" s="140"/>
      <c r="EZ26" s="140"/>
      <c r="FA26" s="141">
        <f t="shared" si="32"/>
        <v>0</v>
      </c>
    </row>
    <row r="27" spans="2:157" hidden="1" x14ac:dyDescent="0.3">
      <c r="C27" s="18" t="s">
        <v>104</v>
      </c>
      <c r="E27" s="19"/>
      <c r="F27" s="19"/>
      <c r="G27" s="19"/>
      <c r="H27" s="19"/>
      <c r="I27" s="19"/>
      <c r="J27" s="19"/>
      <c r="K27" s="19"/>
      <c r="L27" s="19"/>
      <c r="M27" s="19"/>
      <c r="N27" s="19"/>
      <c r="O27" s="19"/>
      <c r="P27" s="19"/>
      <c r="Q27" s="21">
        <f t="shared" si="22"/>
        <v>0</v>
      </c>
      <c r="S27" s="19"/>
      <c r="T27" s="19"/>
      <c r="U27" s="19"/>
      <c r="V27" s="19"/>
      <c r="W27" s="19"/>
      <c r="X27" s="19"/>
      <c r="Y27" s="19"/>
      <c r="Z27" s="19"/>
      <c r="AA27" s="19"/>
      <c r="AB27" s="19"/>
      <c r="AC27" s="19"/>
      <c r="AD27" s="19"/>
      <c r="AE27" s="21">
        <f t="shared" si="23"/>
        <v>0</v>
      </c>
      <c r="AG27" s="19"/>
      <c r="AH27" s="19"/>
      <c r="AI27" s="19"/>
      <c r="AJ27" s="19"/>
      <c r="AK27" s="19"/>
      <c r="AL27" s="19"/>
      <c r="AM27" s="19"/>
      <c r="AN27" s="19"/>
      <c r="AO27" s="19"/>
      <c r="AP27" s="19"/>
      <c r="AQ27" s="19"/>
      <c r="AR27" s="19"/>
      <c r="AS27" s="21">
        <f t="shared" si="24"/>
        <v>0</v>
      </c>
      <c r="AU27" s="19"/>
      <c r="AV27" s="19"/>
      <c r="AW27" s="19"/>
      <c r="AX27" s="19"/>
      <c r="AY27" s="19"/>
      <c r="AZ27" s="19"/>
      <c r="BA27" s="19"/>
      <c r="BB27" s="19"/>
      <c r="BC27" s="19"/>
      <c r="BD27" s="19"/>
      <c r="BE27" s="19"/>
      <c r="BF27" s="19"/>
      <c r="BG27" s="21">
        <f t="shared" si="25"/>
        <v>0</v>
      </c>
      <c r="BI27" s="19"/>
      <c r="BJ27" s="19"/>
      <c r="BK27" s="19"/>
      <c r="BL27" s="19"/>
      <c r="BM27" s="19"/>
      <c r="BN27" s="19"/>
      <c r="BO27" s="19"/>
      <c r="BP27" s="19"/>
      <c r="BQ27" s="19"/>
      <c r="BR27" s="19"/>
      <c r="BS27" s="19"/>
      <c r="BT27" s="19"/>
      <c r="BU27" s="21">
        <f t="shared" si="26"/>
        <v>0</v>
      </c>
      <c r="BW27" s="19"/>
      <c r="BX27" s="19"/>
      <c r="BY27" s="19"/>
      <c r="BZ27" s="19"/>
      <c r="CA27" s="19"/>
      <c r="CB27" s="19"/>
      <c r="CC27" s="19"/>
      <c r="CD27" s="19"/>
      <c r="CE27" s="19"/>
      <c r="CF27" s="19"/>
      <c r="CG27" s="19"/>
      <c r="CH27" s="19"/>
      <c r="CI27" s="21">
        <f t="shared" si="27"/>
        <v>0</v>
      </c>
      <c r="CK27" s="19"/>
      <c r="CL27" s="19"/>
      <c r="CM27" s="19"/>
      <c r="CN27" s="19"/>
      <c r="CO27" s="19"/>
      <c r="CP27" s="19"/>
      <c r="CQ27" s="19"/>
      <c r="CR27" s="19"/>
      <c r="CS27" s="19"/>
      <c r="CT27" s="19"/>
      <c r="CU27" s="19"/>
      <c r="CV27" s="19"/>
      <c r="CW27" s="21">
        <f t="shared" si="28"/>
        <v>0</v>
      </c>
      <c r="CY27" s="19"/>
      <c r="CZ27" s="19"/>
      <c r="DA27" s="19"/>
      <c r="DB27" s="19"/>
      <c r="DC27" s="19"/>
      <c r="DD27" s="19"/>
      <c r="DE27" s="19"/>
      <c r="DF27" s="19"/>
      <c r="DG27" s="19"/>
      <c r="DH27" s="19"/>
      <c r="DI27" s="19"/>
      <c r="DJ27" s="19"/>
      <c r="DK27" s="21">
        <f t="shared" si="29"/>
        <v>0</v>
      </c>
      <c r="DM27" s="19"/>
      <c r="DN27" s="19"/>
      <c r="DO27" s="19"/>
      <c r="DP27" s="19"/>
      <c r="DQ27" s="19"/>
      <c r="DR27" s="19"/>
      <c r="DS27" s="19"/>
      <c r="DT27" s="19"/>
      <c r="DU27" s="19"/>
      <c r="DV27" s="19"/>
      <c r="DW27" s="19"/>
      <c r="DX27" s="19"/>
      <c r="DY27" s="21">
        <f t="shared" si="30"/>
        <v>0</v>
      </c>
      <c r="EA27" s="19"/>
      <c r="EB27" s="19"/>
      <c r="EC27" s="19"/>
      <c r="ED27" s="19"/>
      <c r="EE27" s="19"/>
      <c r="EF27" s="19"/>
      <c r="EG27" s="19"/>
      <c r="EH27" s="19"/>
      <c r="EI27" s="19"/>
      <c r="EJ27" s="19"/>
      <c r="EK27" s="19"/>
      <c r="EL27" s="19"/>
      <c r="EM27" s="21">
        <f t="shared" si="31"/>
        <v>0</v>
      </c>
      <c r="EO27" s="19"/>
      <c r="EP27" s="19"/>
      <c r="EQ27" s="19"/>
      <c r="ER27" s="19"/>
      <c r="ES27" s="19"/>
      <c r="ET27" s="19"/>
      <c r="EU27" s="19"/>
      <c r="EV27" s="19"/>
      <c r="EW27" s="19"/>
      <c r="EX27" s="19"/>
      <c r="EY27" s="19"/>
      <c r="EZ27" s="19"/>
      <c r="FA27" s="21">
        <f t="shared" si="32"/>
        <v>0</v>
      </c>
    </row>
    <row r="28" spans="2:157" hidden="1" x14ac:dyDescent="0.3">
      <c r="C28" s="18" t="s">
        <v>104</v>
      </c>
      <c r="E28" s="19"/>
      <c r="F28" s="19"/>
      <c r="G28" s="19"/>
      <c r="H28" s="19"/>
      <c r="I28" s="19"/>
      <c r="J28" s="19"/>
      <c r="K28" s="19"/>
      <c r="L28" s="19"/>
      <c r="M28" s="19"/>
      <c r="N28" s="19"/>
      <c r="O28" s="19"/>
      <c r="P28" s="19"/>
      <c r="Q28" s="21">
        <f t="shared" si="22"/>
        <v>0</v>
      </c>
      <c r="S28" s="19"/>
      <c r="T28" s="19"/>
      <c r="U28" s="19"/>
      <c r="V28" s="19"/>
      <c r="W28" s="19"/>
      <c r="X28" s="19"/>
      <c r="Y28" s="19"/>
      <c r="Z28" s="19"/>
      <c r="AA28" s="19"/>
      <c r="AB28" s="19"/>
      <c r="AC28" s="19"/>
      <c r="AD28" s="19"/>
      <c r="AE28" s="21">
        <f t="shared" si="23"/>
        <v>0</v>
      </c>
      <c r="AG28" s="19"/>
      <c r="AH28" s="19"/>
      <c r="AI28" s="19"/>
      <c r="AJ28" s="19"/>
      <c r="AK28" s="19"/>
      <c r="AL28" s="19"/>
      <c r="AM28" s="19"/>
      <c r="AN28" s="19"/>
      <c r="AO28" s="19"/>
      <c r="AP28" s="19"/>
      <c r="AQ28" s="19"/>
      <c r="AR28" s="19"/>
      <c r="AS28" s="21">
        <f t="shared" si="24"/>
        <v>0</v>
      </c>
      <c r="AU28" s="19"/>
      <c r="AV28" s="19"/>
      <c r="AW28" s="19"/>
      <c r="AX28" s="19"/>
      <c r="AY28" s="19"/>
      <c r="AZ28" s="19"/>
      <c r="BA28" s="19"/>
      <c r="BB28" s="19"/>
      <c r="BC28" s="19"/>
      <c r="BD28" s="19"/>
      <c r="BE28" s="19"/>
      <c r="BF28" s="19"/>
      <c r="BG28" s="21">
        <f t="shared" si="25"/>
        <v>0</v>
      </c>
      <c r="BI28" s="19"/>
      <c r="BJ28" s="19"/>
      <c r="BK28" s="19"/>
      <c r="BL28" s="19"/>
      <c r="BM28" s="19"/>
      <c r="BN28" s="19"/>
      <c r="BO28" s="19"/>
      <c r="BP28" s="19"/>
      <c r="BQ28" s="19"/>
      <c r="BR28" s="19"/>
      <c r="BS28" s="19"/>
      <c r="BT28" s="19"/>
      <c r="BU28" s="21">
        <f t="shared" si="26"/>
        <v>0</v>
      </c>
      <c r="BW28" s="19"/>
      <c r="BX28" s="19"/>
      <c r="BY28" s="19"/>
      <c r="BZ28" s="19"/>
      <c r="CA28" s="19"/>
      <c r="CB28" s="19"/>
      <c r="CC28" s="19"/>
      <c r="CD28" s="19"/>
      <c r="CE28" s="19"/>
      <c r="CF28" s="19"/>
      <c r="CG28" s="19"/>
      <c r="CH28" s="19"/>
      <c r="CI28" s="21">
        <f t="shared" si="27"/>
        <v>0</v>
      </c>
      <c r="CK28" s="19"/>
      <c r="CL28" s="19"/>
      <c r="CM28" s="19"/>
      <c r="CN28" s="19"/>
      <c r="CO28" s="19"/>
      <c r="CP28" s="19"/>
      <c r="CQ28" s="19"/>
      <c r="CR28" s="19"/>
      <c r="CS28" s="19"/>
      <c r="CT28" s="19"/>
      <c r="CU28" s="19"/>
      <c r="CV28" s="19"/>
      <c r="CW28" s="21">
        <f t="shared" si="28"/>
        <v>0</v>
      </c>
      <c r="CY28" s="19"/>
      <c r="CZ28" s="19"/>
      <c r="DA28" s="19"/>
      <c r="DB28" s="19"/>
      <c r="DC28" s="19"/>
      <c r="DD28" s="19"/>
      <c r="DE28" s="19"/>
      <c r="DF28" s="19"/>
      <c r="DG28" s="19"/>
      <c r="DH28" s="19"/>
      <c r="DI28" s="19"/>
      <c r="DJ28" s="19"/>
      <c r="DK28" s="21">
        <f t="shared" si="29"/>
        <v>0</v>
      </c>
      <c r="DM28" s="19"/>
      <c r="DN28" s="19"/>
      <c r="DO28" s="19"/>
      <c r="DP28" s="19"/>
      <c r="DQ28" s="19"/>
      <c r="DR28" s="19"/>
      <c r="DS28" s="19"/>
      <c r="DT28" s="19"/>
      <c r="DU28" s="19"/>
      <c r="DV28" s="19"/>
      <c r="DW28" s="19"/>
      <c r="DX28" s="19"/>
      <c r="DY28" s="21">
        <f t="shared" si="30"/>
        <v>0</v>
      </c>
      <c r="EA28" s="19"/>
      <c r="EB28" s="19"/>
      <c r="EC28" s="19"/>
      <c r="ED28" s="19"/>
      <c r="EE28" s="19"/>
      <c r="EF28" s="19"/>
      <c r="EG28" s="19"/>
      <c r="EH28" s="19"/>
      <c r="EI28" s="19"/>
      <c r="EJ28" s="19"/>
      <c r="EK28" s="19"/>
      <c r="EL28" s="19"/>
      <c r="EM28" s="21">
        <f t="shared" si="31"/>
        <v>0</v>
      </c>
      <c r="EO28" s="19"/>
      <c r="EP28" s="19"/>
      <c r="EQ28" s="19"/>
      <c r="ER28" s="19"/>
      <c r="ES28" s="19"/>
      <c r="ET28" s="19"/>
      <c r="EU28" s="19"/>
      <c r="EV28" s="19"/>
      <c r="EW28" s="19"/>
      <c r="EX28" s="19"/>
      <c r="EY28" s="19"/>
      <c r="EZ28" s="19"/>
      <c r="FA28" s="21">
        <f t="shared" si="32"/>
        <v>0</v>
      </c>
    </row>
    <row r="29" spans="2:157" hidden="1" x14ac:dyDescent="0.3">
      <c r="C29" s="18" t="s">
        <v>104</v>
      </c>
      <c r="E29" s="19"/>
      <c r="F29" s="19"/>
      <c r="G29" s="19"/>
      <c r="H29" s="19"/>
      <c r="I29" s="19"/>
      <c r="J29" s="19"/>
      <c r="K29" s="19"/>
      <c r="L29" s="19"/>
      <c r="M29" s="19"/>
      <c r="N29" s="19"/>
      <c r="O29" s="19"/>
      <c r="P29" s="19"/>
      <c r="Q29" s="21">
        <f t="shared" si="22"/>
        <v>0</v>
      </c>
      <c r="S29" s="19"/>
      <c r="T29" s="19"/>
      <c r="U29" s="19"/>
      <c r="V29" s="19"/>
      <c r="W29" s="19"/>
      <c r="X29" s="19"/>
      <c r="Y29" s="19"/>
      <c r="Z29" s="19"/>
      <c r="AA29" s="19"/>
      <c r="AB29" s="19"/>
      <c r="AC29" s="19"/>
      <c r="AD29" s="19"/>
      <c r="AE29" s="21">
        <f t="shared" si="23"/>
        <v>0</v>
      </c>
      <c r="AG29" s="19"/>
      <c r="AH29" s="19"/>
      <c r="AI29" s="19"/>
      <c r="AJ29" s="19"/>
      <c r="AK29" s="19"/>
      <c r="AL29" s="19"/>
      <c r="AM29" s="19"/>
      <c r="AN29" s="19"/>
      <c r="AO29" s="19"/>
      <c r="AP29" s="19"/>
      <c r="AQ29" s="19"/>
      <c r="AR29" s="19"/>
      <c r="AS29" s="21">
        <f t="shared" si="24"/>
        <v>0</v>
      </c>
      <c r="AU29" s="19"/>
      <c r="AV29" s="19"/>
      <c r="AW29" s="19"/>
      <c r="AX29" s="19"/>
      <c r="AY29" s="19"/>
      <c r="AZ29" s="19"/>
      <c r="BA29" s="19"/>
      <c r="BB29" s="19"/>
      <c r="BC29" s="19"/>
      <c r="BD29" s="19"/>
      <c r="BE29" s="19"/>
      <c r="BF29" s="19"/>
      <c r="BG29" s="21">
        <f t="shared" si="25"/>
        <v>0</v>
      </c>
      <c r="BI29" s="19"/>
      <c r="BJ29" s="19"/>
      <c r="BK29" s="19"/>
      <c r="BL29" s="19"/>
      <c r="BM29" s="19"/>
      <c r="BN29" s="19"/>
      <c r="BO29" s="19"/>
      <c r="BP29" s="19"/>
      <c r="BQ29" s="19"/>
      <c r="BR29" s="19"/>
      <c r="BS29" s="19"/>
      <c r="BT29" s="19"/>
      <c r="BU29" s="21">
        <f t="shared" si="26"/>
        <v>0</v>
      </c>
      <c r="BW29" s="19"/>
      <c r="BX29" s="19"/>
      <c r="BY29" s="19"/>
      <c r="BZ29" s="19"/>
      <c r="CA29" s="19"/>
      <c r="CB29" s="19"/>
      <c r="CC29" s="19"/>
      <c r="CD29" s="19"/>
      <c r="CE29" s="19"/>
      <c r="CF29" s="19"/>
      <c r="CG29" s="19"/>
      <c r="CH29" s="19"/>
      <c r="CI29" s="21">
        <f t="shared" si="27"/>
        <v>0</v>
      </c>
      <c r="CK29" s="19"/>
      <c r="CL29" s="19"/>
      <c r="CM29" s="19"/>
      <c r="CN29" s="19"/>
      <c r="CO29" s="19"/>
      <c r="CP29" s="19"/>
      <c r="CQ29" s="19"/>
      <c r="CR29" s="19"/>
      <c r="CS29" s="19"/>
      <c r="CT29" s="19"/>
      <c r="CU29" s="19"/>
      <c r="CV29" s="19"/>
      <c r="CW29" s="21">
        <f t="shared" si="28"/>
        <v>0</v>
      </c>
      <c r="CY29" s="19"/>
      <c r="CZ29" s="19"/>
      <c r="DA29" s="19"/>
      <c r="DB29" s="19"/>
      <c r="DC29" s="19"/>
      <c r="DD29" s="19"/>
      <c r="DE29" s="19"/>
      <c r="DF29" s="19"/>
      <c r="DG29" s="19"/>
      <c r="DH29" s="19"/>
      <c r="DI29" s="19"/>
      <c r="DJ29" s="19"/>
      <c r="DK29" s="21">
        <f t="shared" si="29"/>
        <v>0</v>
      </c>
      <c r="DM29" s="19"/>
      <c r="DN29" s="19"/>
      <c r="DO29" s="19"/>
      <c r="DP29" s="19"/>
      <c r="DQ29" s="19"/>
      <c r="DR29" s="19"/>
      <c r="DS29" s="19"/>
      <c r="DT29" s="19"/>
      <c r="DU29" s="19"/>
      <c r="DV29" s="19"/>
      <c r="DW29" s="19"/>
      <c r="DX29" s="19"/>
      <c r="DY29" s="21">
        <f t="shared" si="30"/>
        <v>0</v>
      </c>
      <c r="EA29" s="19"/>
      <c r="EB29" s="19"/>
      <c r="EC29" s="19"/>
      <c r="ED29" s="19"/>
      <c r="EE29" s="19"/>
      <c r="EF29" s="19"/>
      <c r="EG29" s="19"/>
      <c r="EH29" s="19"/>
      <c r="EI29" s="19"/>
      <c r="EJ29" s="19"/>
      <c r="EK29" s="19"/>
      <c r="EL29" s="19"/>
      <c r="EM29" s="21">
        <f t="shared" si="31"/>
        <v>0</v>
      </c>
      <c r="EO29" s="19"/>
      <c r="EP29" s="19"/>
      <c r="EQ29" s="19"/>
      <c r="ER29" s="19"/>
      <c r="ES29" s="19"/>
      <c r="ET29" s="19"/>
      <c r="EU29" s="19"/>
      <c r="EV29" s="19"/>
      <c r="EW29" s="19"/>
      <c r="EX29" s="19"/>
      <c r="EY29" s="19"/>
      <c r="EZ29" s="19"/>
      <c r="FA29" s="21">
        <f t="shared" si="32"/>
        <v>0</v>
      </c>
    </row>
    <row r="30" spans="2:157" hidden="1" x14ac:dyDescent="0.3">
      <c r="C30" s="18" t="s">
        <v>104</v>
      </c>
      <c r="E30" s="19"/>
      <c r="F30" s="19"/>
      <c r="G30" s="19"/>
      <c r="H30" s="19"/>
      <c r="I30" s="19"/>
      <c r="J30" s="19"/>
      <c r="K30" s="19"/>
      <c r="L30" s="19"/>
      <c r="M30" s="19"/>
      <c r="N30" s="19"/>
      <c r="O30" s="19"/>
      <c r="P30" s="19"/>
      <c r="Q30" s="21">
        <f t="shared" si="22"/>
        <v>0</v>
      </c>
      <c r="S30" s="19"/>
      <c r="T30" s="19"/>
      <c r="U30" s="19"/>
      <c r="V30" s="19"/>
      <c r="W30" s="19"/>
      <c r="X30" s="19"/>
      <c r="Y30" s="19"/>
      <c r="Z30" s="19"/>
      <c r="AA30" s="19"/>
      <c r="AB30" s="19"/>
      <c r="AC30" s="19"/>
      <c r="AD30" s="19"/>
      <c r="AE30" s="21">
        <f t="shared" si="23"/>
        <v>0</v>
      </c>
      <c r="AG30" s="19"/>
      <c r="AH30" s="19"/>
      <c r="AI30" s="19"/>
      <c r="AJ30" s="19"/>
      <c r="AK30" s="19"/>
      <c r="AL30" s="19"/>
      <c r="AM30" s="19"/>
      <c r="AN30" s="19"/>
      <c r="AO30" s="19"/>
      <c r="AP30" s="19"/>
      <c r="AQ30" s="19"/>
      <c r="AR30" s="19"/>
      <c r="AS30" s="21">
        <f t="shared" si="24"/>
        <v>0</v>
      </c>
      <c r="AU30" s="19"/>
      <c r="AV30" s="19"/>
      <c r="AW30" s="19"/>
      <c r="AX30" s="19"/>
      <c r="AY30" s="19"/>
      <c r="AZ30" s="19"/>
      <c r="BA30" s="19"/>
      <c r="BB30" s="19"/>
      <c r="BC30" s="19"/>
      <c r="BD30" s="19"/>
      <c r="BE30" s="19"/>
      <c r="BF30" s="19"/>
      <c r="BG30" s="21">
        <f t="shared" si="25"/>
        <v>0</v>
      </c>
      <c r="BI30" s="19"/>
      <c r="BJ30" s="19"/>
      <c r="BK30" s="19"/>
      <c r="BL30" s="19"/>
      <c r="BM30" s="19"/>
      <c r="BN30" s="19"/>
      <c r="BO30" s="19"/>
      <c r="BP30" s="19"/>
      <c r="BQ30" s="19"/>
      <c r="BR30" s="19"/>
      <c r="BS30" s="19"/>
      <c r="BT30" s="19"/>
      <c r="BU30" s="21">
        <f t="shared" si="26"/>
        <v>0</v>
      </c>
      <c r="BW30" s="19"/>
      <c r="BX30" s="19"/>
      <c r="BY30" s="19"/>
      <c r="BZ30" s="19"/>
      <c r="CA30" s="19"/>
      <c r="CB30" s="19"/>
      <c r="CC30" s="19"/>
      <c r="CD30" s="19"/>
      <c r="CE30" s="19"/>
      <c r="CF30" s="19"/>
      <c r="CG30" s="19"/>
      <c r="CH30" s="19"/>
      <c r="CI30" s="21">
        <f t="shared" si="27"/>
        <v>0</v>
      </c>
      <c r="CK30" s="19"/>
      <c r="CL30" s="19"/>
      <c r="CM30" s="19"/>
      <c r="CN30" s="19"/>
      <c r="CO30" s="19"/>
      <c r="CP30" s="19"/>
      <c r="CQ30" s="19"/>
      <c r="CR30" s="19"/>
      <c r="CS30" s="19"/>
      <c r="CT30" s="19"/>
      <c r="CU30" s="19"/>
      <c r="CV30" s="19"/>
      <c r="CW30" s="21">
        <f t="shared" si="28"/>
        <v>0</v>
      </c>
      <c r="CY30" s="19"/>
      <c r="CZ30" s="19"/>
      <c r="DA30" s="19"/>
      <c r="DB30" s="19"/>
      <c r="DC30" s="19"/>
      <c r="DD30" s="19"/>
      <c r="DE30" s="19"/>
      <c r="DF30" s="19"/>
      <c r="DG30" s="19"/>
      <c r="DH30" s="19"/>
      <c r="DI30" s="19"/>
      <c r="DJ30" s="19"/>
      <c r="DK30" s="21">
        <f t="shared" si="29"/>
        <v>0</v>
      </c>
      <c r="DM30" s="19"/>
      <c r="DN30" s="19"/>
      <c r="DO30" s="19"/>
      <c r="DP30" s="19"/>
      <c r="DQ30" s="19"/>
      <c r="DR30" s="19"/>
      <c r="DS30" s="19"/>
      <c r="DT30" s="19"/>
      <c r="DU30" s="19"/>
      <c r="DV30" s="19"/>
      <c r="DW30" s="19"/>
      <c r="DX30" s="19"/>
      <c r="DY30" s="21">
        <f t="shared" si="30"/>
        <v>0</v>
      </c>
      <c r="EA30" s="19"/>
      <c r="EB30" s="19"/>
      <c r="EC30" s="19"/>
      <c r="ED30" s="19"/>
      <c r="EE30" s="19"/>
      <c r="EF30" s="19"/>
      <c r="EG30" s="19"/>
      <c r="EH30" s="19"/>
      <c r="EI30" s="19"/>
      <c r="EJ30" s="19"/>
      <c r="EK30" s="19"/>
      <c r="EL30" s="19"/>
      <c r="EM30" s="21">
        <f t="shared" si="31"/>
        <v>0</v>
      </c>
      <c r="EO30" s="19"/>
      <c r="EP30" s="19"/>
      <c r="EQ30" s="19"/>
      <c r="ER30" s="19"/>
      <c r="ES30" s="19"/>
      <c r="ET30" s="19"/>
      <c r="EU30" s="19"/>
      <c r="EV30" s="19"/>
      <c r="EW30" s="19"/>
      <c r="EX30" s="19"/>
      <c r="EY30" s="19"/>
      <c r="EZ30" s="19"/>
      <c r="FA30" s="21">
        <f t="shared" si="32"/>
        <v>0</v>
      </c>
    </row>
    <row r="31" spans="2:157" hidden="1" x14ac:dyDescent="0.3">
      <c r="C31" s="18" t="s">
        <v>104</v>
      </c>
      <c r="E31" s="19"/>
      <c r="F31" s="19"/>
      <c r="G31" s="19"/>
      <c r="H31" s="19"/>
      <c r="I31" s="19"/>
      <c r="J31" s="19"/>
      <c r="K31" s="19"/>
      <c r="L31" s="19"/>
      <c r="M31" s="19"/>
      <c r="N31" s="19"/>
      <c r="O31" s="19"/>
      <c r="P31" s="19"/>
      <c r="Q31" s="21">
        <f t="shared" si="22"/>
        <v>0</v>
      </c>
      <c r="S31" s="19"/>
      <c r="T31" s="19"/>
      <c r="U31" s="19"/>
      <c r="V31" s="19"/>
      <c r="W31" s="19"/>
      <c r="X31" s="19"/>
      <c r="Y31" s="19"/>
      <c r="Z31" s="19"/>
      <c r="AA31" s="19"/>
      <c r="AB31" s="19"/>
      <c r="AC31" s="19"/>
      <c r="AD31" s="19"/>
      <c r="AE31" s="21">
        <f t="shared" si="23"/>
        <v>0</v>
      </c>
      <c r="AG31" s="19"/>
      <c r="AH31" s="19"/>
      <c r="AI31" s="19"/>
      <c r="AJ31" s="19"/>
      <c r="AK31" s="19"/>
      <c r="AL31" s="19"/>
      <c r="AM31" s="19"/>
      <c r="AN31" s="19"/>
      <c r="AO31" s="19"/>
      <c r="AP31" s="19"/>
      <c r="AQ31" s="19"/>
      <c r="AR31" s="19"/>
      <c r="AS31" s="21">
        <f t="shared" si="24"/>
        <v>0</v>
      </c>
      <c r="AU31" s="19"/>
      <c r="AV31" s="19"/>
      <c r="AW31" s="19"/>
      <c r="AX31" s="19"/>
      <c r="AY31" s="19"/>
      <c r="AZ31" s="19"/>
      <c r="BA31" s="19"/>
      <c r="BB31" s="19"/>
      <c r="BC31" s="19"/>
      <c r="BD31" s="19"/>
      <c r="BE31" s="19"/>
      <c r="BF31" s="19"/>
      <c r="BG31" s="21">
        <f t="shared" si="25"/>
        <v>0</v>
      </c>
      <c r="BI31" s="19"/>
      <c r="BJ31" s="19"/>
      <c r="BK31" s="19"/>
      <c r="BL31" s="19"/>
      <c r="BM31" s="19"/>
      <c r="BN31" s="19"/>
      <c r="BO31" s="19"/>
      <c r="BP31" s="19"/>
      <c r="BQ31" s="19"/>
      <c r="BR31" s="19"/>
      <c r="BS31" s="19"/>
      <c r="BT31" s="19"/>
      <c r="BU31" s="21">
        <f t="shared" si="26"/>
        <v>0</v>
      </c>
      <c r="BW31" s="19"/>
      <c r="BX31" s="19"/>
      <c r="BY31" s="19"/>
      <c r="BZ31" s="19"/>
      <c r="CA31" s="19"/>
      <c r="CB31" s="19"/>
      <c r="CC31" s="19"/>
      <c r="CD31" s="19"/>
      <c r="CE31" s="19"/>
      <c r="CF31" s="19"/>
      <c r="CG31" s="19"/>
      <c r="CH31" s="19"/>
      <c r="CI31" s="21">
        <f t="shared" si="27"/>
        <v>0</v>
      </c>
      <c r="CK31" s="19"/>
      <c r="CL31" s="19"/>
      <c r="CM31" s="19"/>
      <c r="CN31" s="19"/>
      <c r="CO31" s="19"/>
      <c r="CP31" s="19"/>
      <c r="CQ31" s="19"/>
      <c r="CR31" s="19"/>
      <c r="CS31" s="19"/>
      <c r="CT31" s="19"/>
      <c r="CU31" s="19"/>
      <c r="CV31" s="19"/>
      <c r="CW31" s="21">
        <f t="shared" si="28"/>
        <v>0</v>
      </c>
      <c r="CY31" s="19"/>
      <c r="CZ31" s="19"/>
      <c r="DA31" s="19"/>
      <c r="DB31" s="19"/>
      <c r="DC31" s="19"/>
      <c r="DD31" s="19"/>
      <c r="DE31" s="19"/>
      <c r="DF31" s="19"/>
      <c r="DG31" s="19"/>
      <c r="DH31" s="19"/>
      <c r="DI31" s="19"/>
      <c r="DJ31" s="19"/>
      <c r="DK31" s="21">
        <f t="shared" si="29"/>
        <v>0</v>
      </c>
      <c r="DM31" s="19"/>
      <c r="DN31" s="19"/>
      <c r="DO31" s="19"/>
      <c r="DP31" s="19"/>
      <c r="DQ31" s="19"/>
      <c r="DR31" s="19"/>
      <c r="DS31" s="19"/>
      <c r="DT31" s="19"/>
      <c r="DU31" s="19"/>
      <c r="DV31" s="19"/>
      <c r="DW31" s="19"/>
      <c r="DX31" s="19"/>
      <c r="DY31" s="21">
        <f t="shared" si="30"/>
        <v>0</v>
      </c>
      <c r="EA31" s="19"/>
      <c r="EB31" s="19"/>
      <c r="EC31" s="19"/>
      <c r="ED31" s="19"/>
      <c r="EE31" s="19"/>
      <c r="EF31" s="19"/>
      <c r="EG31" s="19"/>
      <c r="EH31" s="19"/>
      <c r="EI31" s="19"/>
      <c r="EJ31" s="19"/>
      <c r="EK31" s="19"/>
      <c r="EL31" s="19"/>
      <c r="EM31" s="21">
        <f t="shared" si="31"/>
        <v>0</v>
      </c>
      <c r="EO31" s="19"/>
      <c r="EP31" s="19"/>
      <c r="EQ31" s="19"/>
      <c r="ER31" s="19"/>
      <c r="ES31" s="19"/>
      <c r="ET31" s="19"/>
      <c r="EU31" s="19"/>
      <c r="EV31" s="19"/>
      <c r="EW31" s="19"/>
      <c r="EX31" s="19"/>
      <c r="EY31" s="19"/>
      <c r="EZ31" s="19"/>
      <c r="FA31" s="21">
        <f t="shared" si="32"/>
        <v>0</v>
      </c>
    </row>
    <row r="32" spans="2:157" hidden="1" x14ac:dyDescent="0.3">
      <c r="C32" s="18" t="s">
        <v>104</v>
      </c>
      <c r="E32" s="19"/>
      <c r="F32" s="19"/>
      <c r="G32" s="19"/>
      <c r="H32" s="19"/>
      <c r="I32" s="19"/>
      <c r="J32" s="19"/>
      <c r="K32" s="19"/>
      <c r="L32" s="19"/>
      <c r="M32" s="19"/>
      <c r="N32" s="19"/>
      <c r="O32" s="19"/>
      <c r="P32" s="19"/>
      <c r="Q32" s="21">
        <f t="shared" si="22"/>
        <v>0</v>
      </c>
      <c r="S32" s="19"/>
      <c r="T32" s="19"/>
      <c r="U32" s="19"/>
      <c r="V32" s="19"/>
      <c r="W32" s="19"/>
      <c r="X32" s="19"/>
      <c r="Y32" s="19"/>
      <c r="Z32" s="19"/>
      <c r="AA32" s="19"/>
      <c r="AB32" s="19"/>
      <c r="AC32" s="19"/>
      <c r="AD32" s="19"/>
      <c r="AE32" s="21">
        <f t="shared" si="23"/>
        <v>0</v>
      </c>
      <c r="AG32" s="19"/>
      <c r="AH32" s="19"/>
      <c r="AI32" s="19"/>
      <c r="AJ32" s="19"/>
      <c r="AK32" s="19"/>
      <c r="AL32" s="19"/>
      <c r="AM32" s="19"/>
      <c r="AN32" s="19"/>
      <c r="AO32" s="19"/>
      <c r="AP32" s="19"/>
      <c r="AQ32" s="19"/>
      <c r="AR32" s="19"/>
      <c r="AS32" s="21">
        <f t="shared" si="24"/>
        <v>0</v>
      </c>
      <c r="AU32" s="19"/>
      <c r="AV32" s="19"/>
      <c r="AW32" s="19"/>
      <c r="AX32" s="19"/>
      <c r="AY32" s="19"/>
      <c r="AZ32" s="19"/>
      <c r="BA32" s="19"/>
      <c r="BB32" s="19"/>
      <c r="BC32" s="19"/>
      <c r="BD32" s="19"/>
      <c r="BE32" s="19"/>
      <c r="BF32" s="19"/>
      <c r="BG32" s="21">
        <f t="shared" si="25"/>
        <v>0</v>
      </c>
      <c r="BI32" s="19"/>
      <c r="BJ32" s="19"/>
      <c r="BK32" s="19"/>
      <c r="BL32" s="19"/>
      <c r="BM32" s="19"/>
      <c r="BN32" s="19"/>
      <c r="BO32" s="19"/>
      <c r="BP32" s="19"/>
      <c r="BQ32" s="19"/>
      <c r="BR32" s="19"/>
      <c r="BS32" s="19"/>
      <c r="BT32" s="19"/>
      <c r="BU32" s="21">
        <f t="shared" si="26"/>
        <v>0</v>
      </c>
      <c r="BW32" s="19"/>
      <c r="BX32" s="19"/>
      <c r="BY32" s="19"/>
      <c r="BZ32" s="19"/>
      <c r="CA32" s="19"/>
      <c r="CB32" s="19"/>
      <c r="CC32" s="19"/>
      <c r="CD32" s="19"/>
      <c r="CE32" s="19"/>
      <c r="CF32" s="19"/>
      <c r="CG32" s="19"/>
      <c r="CH32" s="19"/>
      <c r="CI32" s="21">
        <f t="shared" si="27"/>
        <v>0</v>
      </c>
      <c r="CK32" s="19"/>
      <c r="CL32" s="19"/>
      <c r="CM32" s="19"/>
      <c r="CN32" s="19"/>
      <c r="CO32" s="19"/>
      <c r="CP32" s="19"/>
      <c r="CQ32" s="19"/>
      <c r="CR32" s="19"/>
      <c r="CS32" s="19"/>
      <c r="CT32" s="19"/>
      <c r="CU32" s="19"/>
      <c r="CV32" s="19"/>
      <c r="CW32" s="21">
        <f t="shared" si="28"/>
        <v>0</v>
      </c>
      <c r="CY32" s="19"/>
      <c r="CZ32" s="19"/>
      <c r="DA32" s="19"/>
      <c r="DB32" s="19"/>
      <c r="DC32" s="19"/>
      <c r="DD32" s="19"/>
      <c r="DE32" s="19"/>
      <c r="DF32" s="19"/>
      <c r="DG32" s="19"/>
      <c r="DH32" s="19"/>
      <c r="DI32" s="19"/>
      <c r="DJ32" s="19"/>
      <c r="DK32" s="21">
        <f t="shared" si="29"/>
        <v>0</v>
      </c>
      <c r="DM32" s="19"/>
      <c r="DN32" s="19"/>
      <c r="DO32" s="19"/>
      <c r="DP32" s="19"/>
      <c r="DQ32" s="19"/>
      <c r="DR32" s="19"/>
      <c r="DS32" s="19"/>
      <c r="DT32" s="19"/>
      <c r="DU32" s="19"/>
      <c r="DV32" s="19"/>
      <c r="DW32" s="19"/>
      <c r="DX32" s="19"/>
      <c r="DY32" s="21">
        <f t="shared" si="30"/>
        <v>0</v>
      </c>
      <c r="EA32" s="19"/>
      <c r="EB32" s="19"/>
      <c r="EC32" s="19"/>
      <c r="ED32" s="19"/>
      <c r="EE32" s="19"/>
      <c r="EF32" s="19"/>
      <c r="EG32" s="19"/>
      <c r="EH32" s="19"/>
      <c r="EI32" s="19"/>
      <c r="EJ32" s="19"/>
      <c r="EK32" s="19"/>
      <c r="EL32" s="19"/>
      <c r="EM32" s="21">
        <f t="shared" si="31"/>
        <v>0</v>
      </c>
      <c r="EO32" s="19"/>
      <c r="EP32" s="19"/>
      <c r="EQ32" s="19"/>
      <c r="ER32" s="19"/>
      <c r="ES32" s="19"/>
      <c r="ET32" s="19"/>
      <c r="EU32" s="19"/>
      <c r="EV32" s="19"/>
      <c r="EW32" s="19"/>
      <c r="EX32" s="19"/>
      <c r="EY32" s="19"/>
      <c r="EZ32" s="19"/>
      <c r="FA32" s="21">
        <f t="shared" si="32"/>
        <v>0</v>
      </c>
    </row>
    <row r="33" spans="3:157" x14ac:dyDescent="0.3">
      <c r="C33" s="17" t="s">
        <v>54</v>
      </c>
      <c r="E33" s="20">
        <f t="array" aca="1" ref="E33" ca="1">SUM(INDIRECT(ADDRESS(fixed_costs_min_row,COLUMN()) &amp; ":" &amp; ADDRESS(fixed_costs_max_row, COLUMN())))</f>
        <v>205.5</v>
      </c>
      <c r="F33" s="20">
        <f t="array" aca="1" ref="F33" ca="1">SUM(INDIRECT(ADDRESS(fixed_costs_min_row,COLUMN()) &amp; ":" &amp; ADDRESS(fixed_costs_max_row, COLUMN())))</f>
        <v>205.5</v>
      </c>
      <c r="G33" s="20">
        <f t="array" aca="1" ref="G33" ca="1">SUM(INDIRECT(ADDRESS(fixed_costs_min_row,COLUMN()) &amp; ":" &amp; ADDRESS(fixed_costs_max_row, COLUMN())))</f>
        <v>205.5</v>
      </c>
      <c r="H33" s="20">
        <f t="array" aca="1" ref="H33" ca="1">SUM(INDIRECT(ADDRESS(fixed_costs_min_row,COLUMN()) &amp; ":" &amp; ADDRESS(fixed_costs_max_row, COLUMN())))</f>
        <v>205.5</v>
      </c>
      <c r="I33" s="20">
        <f t="array" aca="1" ref="I33" ca="1">SUM(INDIRECT(ADDRESS(fixed_costs_min_row,COLUMN()) &amp; ":" &amp; ADDRESS(fixed_costs_max_row, COLUMN())))</f>
        <v>205.5</v>
      </c>
      <c r="J33" s="20">
        <f t="array" aca="1" ref="J33" ca="1">SUM(INDIRECT(ADDRESS(fixed_costs_min_row,COLUMN()) &amp; ":" &amp; ADDRESS(fixed_costs_max_row, COLUMN())))</f>
        <v>205.5</v>
      </c>
      <c r="K33" s="20">
        <f t="array" aca="1" ref="K33" ca="1">SUM(INDIRECT(ADDRESS(fixed_costs_min_row,COLUMN()) &amp; ":" &amp; ADDRESS(fixed_costs_max_row, COLUMN())))</f>
        <v>205.5</v>
      </c>
      <c r="L33" s="20">
        <f t="array" aca="1" ref="L33" ca="1">SUM(INDIRECT(ADDRESS(fixed_costs_min_row,COLUMN()) &amp; ":" &amp; ADDRESS(fixed_costs_max_row, COLUMN())))</f>
        <v>205.5</v>
      </c>
      <c r="M33" s="20">
        <f t="array" aca="1" ref="M33" ca="1">SUM(INDIRECT(ADDRESS(fixed_costs_min_row,COLUMN()) &amp; ":" &amp; ADDRESS(fixed_costs_max_row, COLUMN())))</f>
        <v>205.5</v>
      </c>
      <c r="N33" s="20">
        <f t="array" aca="1" ref="N33" ca="1">SUM(INDIRECT(ADDRESS(fixed_costs_min_row,COLUMN()) &amp; ":" &amp; ADDRESS(fixed_costs_max_row, COLUMN())))</f>
        <v>205.5</v>
      </c>
      <c r="O33" s="20">
        <f t="array" aca="1" ref="O33" ca="1">SUM(INDIRECT(ADDRESS(fixed_costs_min_row,COLUMN()) &amp; ":" &amp; ADDRESS(fixed_costs_max_row, COLUMN())))</f>
        <v>205.5</v>
      </c>
      <c r="P33" s="20">
        <f t="array" aca="1" ref="P33" ca="1">SUM(INDIRECT(ADDRESS(fixed_costs_min_row,COLUMN()) &amp; ":" &amp; ADDRESS(fixed_costs_max_row, COLUMN())))</f>
        <v>205.5</v>
      </c>
      <c r="Q33" s="20">
        <f t="array" aca="1" ref="Q33" ca="1">SUM(INDIRECT(ADDRESS(fixed_costs_min_row,COLUMN()) &amp; ":" &amp; ADDRESS(fixed_costs_max_row, COLUMN())))</f>
        <v>2466</v>
      </c>
      <c r="S33" s="20">
        <f t="array" aca="1" ref="S33" ca="1">SUM(INDIRECT(ADDRESS(fixed_costs_min_row,COLUMN()) &amp; ":" &amp; ADDRESS(fixed_costs_max_row, COLUMN())))</f>
        <v>0</v>
      </c>
      <c r="T33" s="20">
        <f t="array" aca="1" ref="T33" ca="1">SUM(INDIRECT(ADDRESS(fixed_costs_min_row,COLUMN()) &amp; ":" &amp; ADDRESS(fixed_costs_max_row, COLUMN())))</f>
        <v>0</v>
      </c>
      <c r="U33" s="20">
        <f t="array" aca="1" ref="U33" ca="1">SUM(INDIRECT(ADDRESS(fixed_costs_min_row,COLUMN()) &amp; ":" &amp; ADDRESS(fixed_costs_max_row, COLUMN())))</f>
        <v>0</v>
      </c>
      <c r="V33" s="20">
        <f t="array" aca="1" ref="V33" ca="1">SUM(INDIRECT(ADDRESS(fixed_costs_min_row,COLUMN()) &amp; ":" &amp; ADDRESS(fixed_costs_max_row, COLUMN())))</f>
        <v>0</v>
      </c>
      <c r="W33" s="20">
        <f t="array" aca="1" ref="W33" ca="1">SUM(INDIRECT(ADDRESS(fixed_costs_min_row,COLUMN()) &amp; ":" &amp; ADDRESS(fixed_costs_max_row, COLUMN())))</f>
        <v>0</v>
      </c>
      <c r="X33" s="20">
        <f t="array" aca="1" ref="X33" ca="1">SUM(INDIRECT(ADDRESS(fixed_costs_min_row,COLUMN()) &amp; ":" &amp; ADDRESS(fixed_costs_max_row, COLUMN())))</f>
        <v>0</v>
      </c>
      <c r="Y33" s="20">
        <f t="array" aca="1" ref="Y33" ca="1">SUM(INDIRECT(ADDRESS(fixed_costs_min_row,COLUMN()) &amp; ":" &amp; ADDRESS(fixed_costs_max_row, COLUMN())))</f>
        <v>0</v>
      </c>
      <c r="Z33" s="20">
        <f t="array" aca="1" ref="Z33" ca="1">SUM(INDIRECT(ADDRESS(fixed_costs_min_row,COLUMN()) &amp; ":" &amp; ADDRESS(fixed_costs_max_row, COLUMN())))</f>
        <v>0</v>
      </c>
      <c r="AA33" s="20">
        <f t="array" aca="1" ref="AA33" ca="1">SUM(INDIRECT(ADDRESS(fixed_costs_min_row,COLUMN()) &amp; ":" &amp; ADDRESS(fixed_costs_max_row, COLUMN())))</f>
        <v>0</v>
      </c>
      <c r="AB33" s="20">
        <f t="array" aca="1" ref="AB33" ca="1">SUM(INDIRECT(ADDRESS(fixed_costs_min_row,COLUMN()) &amp; ":" &amp; ADDRESS(fixed_costs_max_row, COLUMN())))</f>
        <v>0</v>
      </c>
      <c r="AC33" s="20">
        <f t="array" aca="1" ref="AC33" ca="1">SUM(INDIRECT(ADDRESS(fixed_costs_min_row,COLUMN()) &amp; ":" &amp; ADDRESS(fixed_costs_max_row, COLUMN())))</f>
        <v>0</v>
      </c>
      <c r="AD33" s="20">
        <f t="array" aca="1" ref="AD33" ca="1">SUM(INDIRECT(ADDRESS(fixed_costs_min_row,COLUMN()) &amp; ":" &amp; ADDRESS(fixed_costs_max_row, COLUMN())))</f>
        <v>0</v>
      </c>
      <c r="AE33" s="20">
        <f t="array" aca="1" ref="AE33" ca="1">SUM(INDIRECT(ADDRESS(fixed_costs_min_row,COLUMN()) &amp; ":" &amp; ADDRESS(fixed_costs_max_row, COLUMN())))</f>
        <v>0</v>
      </c>
      <c r="AG33" s="20">
        <f t="array" aca="1" ref="AG33" ca="1">SUM(INDIRECT(ADDRESS(fixed_costs_min_row,COLUMN()) &amp; ":" &amp; ADDRESS(fixed_costs_max_row, COLUMN())))</f>
        <v>0</v>
      </c>
      <c r="AH33" s="20">
        <f t="array" aca="1" ref="AH33" ca="1">SUM(INDIRECT(ADDRESS(fixed_costs_min_row,COLUMN()) &amp; ":" &amp; ADDRESS(fixed_costs_max_row, COLUMN())))</f>
        <v>0</v>
      </c>
      <c r="AI33" s="20">
        <f t="array" aca="1" ref="AI33" ca="1">SUM(INDIRECT(ADDRESS(fixed_costs_min_row,COLUMN()) &amp; ":" &amp; ADDRESS(fixed_costs_max_row, COLUMN())))</f>
        <v>0</v>
      </c>
      <c r="AJ33" s="20">
        <f t="array" aca="1" ref="AJ33" ca="1">SUM(INDIRECT(ADDRESS(fixed_costs_min_row,COLUMN()) &amp; ":" &amp; ADDRESS(fixed_costs_max_row, COLUMN())))</f>
        <v>0</v>
      </c>
      <c r="AK33" s="20">
        <f t="array" aca="1" ref="AK33" ca="1">SUM(INDIRECT(ADDRESS(fixed_costs_min_row,COLUMN()) &amp; ":" &amp; ADDRESS(fixed_costs_max_row, COLUMN())))</f>
        <v>0</v>
      </c>
      <c r="AL33" s="20">
        <f t="array" aca="1" ref="AL33" ca="1">SUM(INDIRECT(ADDRESS(fixed_costs_min_row,COLUMN()) &amp; ":" &amp; ADDRESS(fixed_costs_max_row, COLUMN())))</f>
        <v>0</v>
      </c>
      <c r="AM33" s="20">
        <f t="array" aca="1" ref="AM33" ca="1">SUM(INDIRECT(ADDRESS(fixed_costs_min_row,COLUMN()) &amp; ":" &amp; ADDRESS(fixed_costs_max_row, COLUMN())))</f>
        <v>0</v>
      </c>
      <c r="AN33" s="20">
        <f t="array" aca="1" ref="AN33" ca="1">SUM(INDIRECT(ADDRESS(fixed_costs_min_row,COLUMN()) &amp; ":" &amp; ADDRESS(fixed_costs_max_row, COLUMN())))</f>
        <v>0</v>
      </c>
      <c r="AO33" s="20">
        <f t="array" aca="1" ref="AO33" ca="1">SUM(INDIRECT(ADDRESS(fixed_costs_min_row,COLUMN()) &amp; ":" &amp; ADDRESS(fixed_costs_max_row, COLUMN())))</f>
        <v>0</v>
      </c>
      <c r="AP33" s="20">
        <f t="array" aca="1" ref="AP33" ca="1">SUM(INDIRECT(ADDRESS(fixed_costs_min_row,COLUMN()) &amp; ":" &amp; ADDRESS(fixed_costs_max_row, COLUMN())))</f>
        <v>0</v>
      </c>
      <c r="AQ33" s="20">
        <f t="array" aca="1" ref="AQ33" ca="1">SUM(INDIRECT(ADDRESS(fixed_costs_min_row,COLUMN()) &amp; ":" &amp; ADDRESS(fixed_costs_max_row, COLUMN())))</f>
        <v>0</v>
      </c>
      <c r="AR33" s="20">
        <f t="array" aca="1" ref="AR33" ca="1">SUM(INDIRECT(ADDRESS(fixed_costs_min_row,COLUMN()) &amp; ":" &amp; ADDRESS(fixed_costs_max_row, COLUMN())))</f>
        <v>0</v>
      </c>
      <c r="AS33" s="20">
        <f t="array" aca="1" ref="AS33" ca="1">SUM(INDIRECT(ADDRESS(fixed_costs_min_row,COLUMN()) &amp; ":" &amp; ADDRESS(fixed_costs_max_row, COLUMN())))</f>
        <v>0</v>
      </c>
      <c r="AU33" s="20">
        <f t="array" aca="1" ref="AU33" ca="1">SUM(INDIRECT(ADDRESS(fixed_costs_min_row,COLUMN()) &amp; ":" &amp; ADDRESS(fixed_costs_max_row, COLUMN())))</f>
        <v>0</v>
      </c>
      <c r="AV33" s="20">
        <f t="array" aca="1" ref="AV33" ca="1">SUM(INDIRECT(ADDRESS(fixed_costs_min_row,COLUMN()) &amp; ":" &amp; ADDRESS(fixed_costs_max_row, COLUMN())))</f>
        <v>0</v>
      </c>
      <c r="AW33" s="20">
        <f t="array" aca="1" ref="AW33" ca="1">SUM(INDIRECT(ADDRESS(fixed_costs_min_row,COLUMN()) &amp; ":" &amp; ADDRESS(fixed_costs_max_row, COLUMN())))</f>
        <v>0</v>
      </c>
      <c r="AX33" s="20">
        <f t="array" aca="1" ref="AX33" ca="1">SUM(INDIRECT(ADDRESS(fixed_costs_min_row,COLUMN()) &amp; ":" &amp; ADDRESS(fixed_costs_max_row, COLUMN())))</f>
        <v>0</v>
      </c>
      <c r="AY33" s="20">
        <f t="array" aca="1" ref="AY33" ca="1">SUM(INDIRECT(ADDRESS(fixed_costs_min_row,COLUMN()) &amp; ":" &amp; ADDRESS(fixed_costs_max_row, COLUMN())))</f>
        <v>0</v>
      </c>
      <c r="AZ33" s="20">
        <f t="array" aca="1" ref="AZ33" ca="1">SUM(INDIRECT(ADDRESS(fixed_costs_min_row,COLUMN()) &amp; ":" &amp; ADDRESS(fixed_costs_max_row, COLUMN())))</f>
        <v>0</v>
      </c>
      <c r="BA33" s="20">
        <f t="array" aca="1" ref="BA33" ca="1">SUM(INDIRECT(ADDRESS(fixed_costs_min_row,COLUMN()) &amp; ":" &amp; ADDRESS(fixed_costs_max_row, COLUMN())))</f>
        <v>0</v>
      </c>
      <c r="BB33" s="20">
        <f t="array" aca="1" ref="BB33" ca="1">SUM(INDIRECT(ADDRESS(fixed_costs_min_row,COLUMN()) &amp; ":" &amp; ADDRESS(fixed_costs_max_row, COLUMN())))</f>
        <v>0</v>
      </c>
      <c r="BC33" s="20">
        <f t="array" aca="1" ref="BC33" ca="1">SUM(INDIRECT(ADDRESS(fixed_costs_min_row,COLUMN()) &amp; ":" &amp; ADDRESS(fixed_costs_max_row, COLUMN())))</f>
        <v>0</v>
      </c>
      <c r="BD33" s="20">
        <f t="array" aca="1" ref="BD33" ca="1">SUM(INDIRECT(ADDRESS(fixed_costs_min_row,COLUMN()) &amp; ":" &amp; ADDRESS(fixed_costs_max_row, COLUMN())))</f>
        <v>0</v>
      </c>
      <c r="BE33" s="20">
        <f t="array" aca="1" ref="BE33" ca="1">SUM(INDIRECT(ADDRESS(fixed_costs_min_row,COLUMN()) &amp; ":" &amp; ADDRESS(fixed_costs_max_row, COLUMN())))</f>
        <v>0</v>
      </c>
      <c r="BF33" s="20">
        <f t="array" aca="1" ref="BF33" ca="1">SUM(INDIRECT(ADDRESS(fixed_costs_min_row,COLUMN()) &amp; ":" &amp; ADDRESS(fixed_costs_max_row, COLUMN())))</f>
        <v>0</v>
      </c>
      <c r="BG33" s="20">
        <f t="array" aca="1" ref="BG33" ca="1">SUM(INDIRECT(ADDRESS(fixed_costs_min_row,COLUMN()) &amp; ":" &amp; ADDRESS(fixed_costs_max_row, COLUMN())))</f>
        <v>0</v>
      </c>
      <c r="BI33" s="20">
        <f t="array" aca="1" ref="BI33" ca="1">SUM(INDIRECT(ADDRESS(fixed_costs_min_row,COLUMN()) &amp; ":" &amp; ADDRESS(fixed_costs_max_row, COLUMN())))</f>
        <v>0</v>
      </c>
      <c r="BJ33" s="20">
        <f t="array" aca="1" ref="BJ33" ca="1">SUM(INDIRECT(ADDRESS(fixed_costs_min_row,COLUMN()) &amp; ":" &amp; ADDRESS(fixed_costs_max_row, COLUMN())))</f>
        <v>0</v>
      </c>
      <c r="BK33" s="20">
        <f t="array" aca="1" ref="BK33" ca="1">SUM(INDIRECT(ADDRESS(fixed_costs_min_row,COLUMN()) &amp; ":" &amp; ADDRESS(fixed_costs_max_row, COLUMN())))</f>
        <v>0</v>
      </c>
      <c r="BL33" s="20">
        <f t="array" aca="1" ref="BL33" ca="1">SUM(INDIRECT(ADDRESS(fixed_costs_min_row,COLUMN()) &amp; ":" &amp; ADDRESS(fixed_costs_max_row, COLUMN())))</f>
        <v>0</v>
      </c>
      <c r="BM33" s="20">
        <f t="array" aca="1" ref="BM33" ca="1">SUM(INDIRECT(ADDRESS(fixed_costs_min_row,COLUMN()) &amp; ":" &amp; ADDRESS(fixed_costs_max_row, COLUMN())))</f>
        <v>0</v>
      </c>
      <c r="BN33" s="20">
        <f t="array" aca="1" ref="BN33" ca="1">SUM(INDIRECT(ADDRESS(fixed_costs_min_row,COLUMN()) &amp; ":" &amp; ADDRESS(fixed_costs_max_row, COLUMN())))</f>
        <v>0</v>
      </c>
      <c r="BO33" s="20">
        <f t="array" aca="1" ref="BO33" ca="1">SUM(INDIRECT(ADDRESS(fixed_costs_min_row,COLUMN()) &amp; ":" &amp; ADDRESS(fixed_costs_max_row, COLUMN())))</f>
        <v>0</v>
      </c>
      <c r="BP33" s="20">
        <f t="array" aca="1" ref="BP33" ca="1">SUM(INDIRECT(ADDRESS(fixed_costs_min_row,COLUMN()) &amp; ":" &amp; ADDRESS(fixed_costs_max_row, COLUMN())))</f>
        <v>0</v>
      </c>
      <c r="BQ33" s="20">
        <f t="array" aca="1" ref="BQ33" ca="1">SUM(INDIRECT(ADDRESS(fixed_costs_min_row,COLUMN()) &amp; ":" &amp; ADDRESS(fixed_costs_max_row, COLUMN())))</f>
        <v>0</v>
      </c>
      <c r="BR33" s="20">
        <f t="array" aca="1" ref="BR33" ca="1">SUM(INDIRECT(ADDRESS(fixed_costs_min_row,COLUMN()) &amp; ":" &amp; ADDRESS(fixed_costs_max_row, COLUMN())))</f>
        <v>0</v>
      </c>
      <c r="BS33" s="20">
        <f t="array" aca="1" ref="BS33" ca="1">SUM(INDIRECT(ADDRESS(fixed_costs_min_row,COLUMN()) &amp; ":" &amp; ADDRESS(fixed_costs_max_row, COLUMN())))</f>
        <v>0</v>
      </c>
      <c r="BT33" s="20">
        <f t="array" aca="1" ref="BT33" ca="1">SUM(INDIRECT(ADDRESS(fixed_costs_min_row,COLUMN()) &amp; ":" &amp; ADDRESS(fixed_costs_max_row, COLUMN())))</f>
        <v>0</v>
      </c>
      <c r="BU33" s="20">
        <f t="array" aca="1" ref="BU33" ca="1">SUM(INDIRECT(ADDRESS(fixed_costs_min_row,COLUMN()) &amp; ":" &amp; ADDRESS(fixed_costs_max_row, COLUMN())))</f>
        <v>0</v>
      </c>
      <c r="BW33" s="20">
        <f t="array" aca="1" ref="BW33" ca="1">SUM(INDIRECT(ADDRESS(fixed_costs_min_row,COLUMN()) &amp; ":" &amp; ADDRESS(fixed_costs_max_row, COLUMN())))</f>
        <v>0</v>
      </c>
      <c r="BX33" s="20">
        <f t="array" aca="1" ref="BX33" ca="1">SUM(INDIRECT(ADDRESS(fixed_costs_min_row,COLUMN()) &amp; ":" &amp; ADDRESS(fixed_costs_max_row, COLUMN())))</f>
        <v>0</v>
      </c>
      <c r="BY33" s="20">
        <f t="array" aca="1" ref="BY33" ca="1">SUM(INDIRECT(ADDRESS(fixed_costs_min_row,COLUMN()) &amp; ":" &amp; ADDRESS(fixed_costs_max_row, COLUMN())))</f>
        <v>0</v>
      </c>
      <c r="BZ33" s="20">
        <f t="array" aca="1" ref="BZ33" ca="1">SUM(INDIRECT(ADDRESS(fixed_costs_min_row,COLUMN()) &amp; ":" &amp; ADDRESS(fixed_costs_max_row, COLUMN())))</f>
        <v>0</v>
      </c>
      <c r="CA33" s="20">
        <f t="array" aca="1" ref="CA33" ca="1">SUM(INDIRECT(ADDRESS(fixed_costs_min_row,COLUMN()) &amp; ":" &amp; ADDRESS(fixed_costs_max_row, COLUMN())))</f>
        <v>0</v>
      </c>
      <c r="CB33" s="20">
        <f t="array" aca="1" ref="CB33" ca="1">SUM(INDIRECT(ADDRESS(fixed_costs_min_row,COLUMN()) &amp; ":" &amp; ADDRESS(fixed_costs_max_row, COLUMN())))</f>
        <v>0</v>
      </c>
      <c r="CC33" s="20">
        <f t="array" aca="1" ref="CC33" ca="1">SUM(INDIRECT(ADDRESS(fixed_costs_min_row,COLUMN()) &amp; ":" &amp; ADDRESS(fixed_costs_max_row, COLUMN())))</f>
        <v>0</v>
      </c>
      <c r="CD33" s="20">
        <f t="array" aca="1" ref="CD33" ca="1">SUM(INDIRECT(ADDRESS(fixed_costs_min_row,COLUMN()) &amp; ":" &amp; ADDRESS(fixed_costs_max_row, COLUMN())))</f>
        <v>0</v>
      </c>
      <c r="CE33" s="20">
        <f t="array" aca="1" ref="CE33" ca="1">SUM(INDIRECT(ADDRESS(fixed_costs_min_row,COLUMN()) &amp; ":" &amp; ADDRESS(fixed_costs_max_row, COLUMN())))</f>
        <v>0</v>
      </c>
      <c r="CF33" s="20">
        <f t="array" aca="1" ref="CF33" ca="1">SUM(INDIRECT(ADDRESS(fixed_costs_min_row,COLUMN()) &amp; ":" &amp; ADDRESS(fixed_costs_max_row, COLUMN())))</f>
        <v>0</v>
      </c>
      <c r="CG33" s="20">
        <f t="array" aca="1" ref="CG33" ca="1">SUM(INDIRECT(ADDRESS(fixed_costs_min_row,COLUMN()) &amp; ":" &amp; ADDRESS(fixed_costs_max_row, COLUMN())))</f>
        <v>0</v>
      </c>
      <c r="CH33" s="20">
        <f t="array" aca="1" ref="CH33" ca="1">SUM(INDIRECT(ADDRESS(fixed_costs_min_row,COLUMN()) &amp; ":" &amp; ADDRESS(fixed_costs_max_row, COLUMN())))</f>
        <v>0</v>
      </c>
      <c r="CI33" s="20">
        <f t="array" aca="1" ref="CI33" ca="1">SUM(INDIRECT(ADDRESS(fixed_costs_min_row,COLUMN()) &amp; ":" &amp; ADDRESS(fixed_costs_max_row, COLUMN())))</f>
        <v>0</v>
      </c>
      <c r="CK33" s="20">
        <f t="array" aca="1" ref="CK33" ca="1">SUM(INDIRECT(ADDRESS(fixed_costs_min_row,COLUMN()) &amp; ":" &amp; ADDRESS(fixed_costs_max_row, COLUMN())))</f>
        <v>0</v>
      </c>
      <c r="CL33" s="20">
        <f t="array" aca="1" ref="CL33" ca="1">SUM(INDIRECT(ADDRESS(fixed_costs_min_row,COLUMN()) &amp; ":" &amp; ADDRESS(fixed_costs_max_row, COLUMN())))</f>
        <v>0</v>
      </c>
      <c r="CM33" s="20">
        <f t="array" aca="1" ref="CM33" ca="1">SUM(INDIRECT(ADDRESS(fixed_costs_min_row,COLUMN()) &amp; ":" &amp; ADDRESS(fixed_costs_max_row, COLUMN())))</f>
        <v>0</v>
      </c>
      <c r="CN33" s="20">
        <f t="array" aca="1" ref="CN33" ca="1">SUM(INDIRECT(ADDRESS(fixed_costs_min_row,COLUMN()) &amp; ":" &amp; ADDRESS(fixed_costs_max_row, COLUMN())))</f>
        <v>0</v>
      </c>
      <c r="CO33" s="20">
        <f t="array" aca="1" ref="CO33" ca="1">SUM(INDIRECT(ADDRESS(fixed_costs_min_row,COLUMN()) &amp; ":" &amp; ADDRESS(fixed_costs_max_row, COLUMN())))</f>
        <v>0</v>
      </c>
      <c r="CP33" s="20">
        <f t="array" aca="1" ref="CP33" ca="1">SUM(INDIRECT(ADDRESS(fixed_costs_min_row,COLUMN()) &amp; ":" &amp; ADDRESS(fixed_costs_max_row, COLUMN())))</f>
        <v>0</v>
      </c>
      <c r="CQ33" s="20">
        <f t="array" aca="1" ref="CQ33" ca="1">SUM(INDIRECT(ADDRESS(fixed_costs_min_row,COLUMN()) &amp; ":" &amp; ADDRESS(fixed_costs_max_row, COLUMN())))</f>
        <v>0</v>
      </c>
      <c r="CR33" s="20">
        <f t="array" aca="1" ref="CR33" ca="1">SUM(INDIRECT(ADDRESS(fixed_costs_min_row,COLUMN()) &amp; ":" &amp; ADDRESS(fixed_costs_max_row, COLUMN())))</f>
        <v>0</v>
      </c>
      <c r="CS33" s="20">
        <f t="array" aca="1" ref="CS33" ca="1">SUM(INDIRECT(ADDRESS(fixed_costs_min_row,COLUMN()) &amp; ":" &amp; ADDRESS(fixed_costs_max_row, COLUMN())))</f>
        <v>0</v>
      </c>
      <c r="CT33" s="20">
        <f t="array" aca="1" ref="CT33" ca="1">SUM(INDIRECT(ADDRESS(fixed_costs_min_row,COLUMN()) &amp; ":" &amp; ADDRESS(fixed_costs_max_row, COLUMN())))</f>
        <v>0</v>
      </c>
      <c r="CU33" s="20">
        <f t="array" aca="1" ref="CU33" ca="1">SUM(INDIRECT(ADDRESS(fixed_costs_min_row,COLUMN()) &amp; ":" &amp; ADDRESS(fixed_costs_max_row, COLUMN())))</f>
        <v>0</v>
      </c>
      <c r="CV33" s="20">
        <f t="array" aca="1" ref="CV33" ca="1">SUM(INDIRECT(ADDRESS(fixed_costs_min_row,COLUMN()) &amp; ":" &amp; ADDRESS(fixed_costs_max_row, COLUMN())))</f>
        <v>0</v>
      </c>
      <c r="CW33" s="20">
        <f t="array" aca="1" ref="CW33" ca="1">SUM(INDIRECT(ADDRESS(fixed_costs_min_row,COLUMN()) &amp; ":" &amp; ADDRESS(fixed_costs_max_row, COLUMN())))</f>
        <v>0</v>
      </c>
      <c r="CY33" s="20">
        <f t="array" aca="1" ref="CY33" ca="1">SUM(INDIRECT(ADDRESS(fixed_costs_min_row,COLUMN()) &amp; ":" &amp; ADDRESS(fixed_costs_max_row, COLUMN())))</f>
        <v>0</v>
      </c>
      <c r="CZ33" s="20">
        <f t="array" aca="1" ref="CZ33" ca="1">SUM(INDIRECT(ADDRESS(fixed_costs_min_row,COLUMN()) &amp; ":" &amp; ADDRESS(fixed_costs_max_row, COLUMN())))</f>
        <v>0</v>
      </c>
      <c r="DA33" s="20">
        <f t="array" aca="1" ref="DA33" ca="1">SUM(INDIRECT(ADDRESS(fixed_costs_min_row,COLUMN()) &amp; ":" &amp; ADDRESS(fixed_costs_max_row, COLUMN())))</f>
        <v>0</v>
      </c>
      <c r="DB33" s="20">
        <f t="array" aca="1" ref="DB33" ca="1">SUM(INDIRECT(ADDRESS(fixed_costs_min_row,COLUMN()) &amp; ":" &amp; ADDRESS(fixed_costs_max_row, COLUMN())))</f>
        <v>0</v>
      </c>
      <c r="DC33" s="20">
        <f t="array" aca="1" ref="DC33" ca="1">SUM(INDIRECT(ADDRESS(fixed_costs_min_row,COLUMN()) &amp; ":" &amp; ADDRESS(fixed_costs_max_row, COLUMN())))</f>
        <v>0</v>
      </c>
      <c r="DD33" s="20">
        <f t="array" aca="1" ref="DD33" ca="1">SUM(INDIRECT(ADDRESS(fixed_costs_min_row,COLUMN()) &amp; ":" &amp; ADDRESS(fixed_costs_max_row, COLUMN())))</f>
        <v>0</v>
      </c>
      <c r="DE33" s="20">
        <f t="array" aca="1" ref="DE33" ca="1">SUM(INDIRECT(ADDRESS(fixed_costs_min_row,COLUMN()) &amp; ":" &amp; ADDRESS(fixed_costs_max_row, COLUMN())))</f>
        <v>0</v>
      </c>
      <c r="DF33" s="20">
        <f t="array" aca="1" ref="DF33" ca="1">SUM(INDIRECT(ADDRESS(fixed_costs_min_row,COLUMN()) &amp; ":" &amp; ADDRESS(fixed_costs_max_row, COLUMN())))</f>
        <v>0</v>
      </c>
      <c r="DG33" s="20">
        <f t="array" aca="1" ref="DG33" ca="1">SUM(INDIRECT(ADDRESS(fixed_costs_min_row,COLUMN()) &amp; ":" &amp; ADDRESS(fixed_costs_max_row, COLUMN())))</f>
        <v>0</v>
      </c>
      <c r="DH33" s="20">
        <f t="array" aca="1" ref="DH33" ca="1">SUM(INDIRECT(ADDRESS(fixed_costs_min_row,COLUMN()) &amp; ":" &amp; ADDRESS(fixed_costs_max_row, COLUMN())))</f>
        <v>0</v>
      </c>
      <c r="DI33" s="20">
        <f t="array" aca="1" ref="DI33" ca="1">SUM(INDIRECT(ADDRESS(fixed_costs_min_row,COLUMN()) &amp; ":" &amp; ADDRESS(fixed_costs_max_row, COLUMN())))</f>
        <v>0</v>
      </c>
      <c r="DJ33" s="20">
        <f t="array" aca="1" ref="DJ33" ca="1">SUM(INDIRECT(ADDRESS(fixed_costs_min_row,COLUMN()) &amp; ":" &amp; ADDRESS(fixed_costs_max_row, COLUMN())))</f>
        <v>0</v>
      </c>
      <c r="DK33" s="20">
        <f t="array" aca="1" ref="DK33" ca="1">SUM(INDIRECT(ADDRESS(fixed_costs_min_row,COLUMN()) &amp; ":" &amp; ADDRESS(fixed_costs_max_row, COLUMN())))</f>
        <v>0</v>
      </c>
      <c r="DM33" s="20">
        <f t="array" aca="1" ref="DM33" ca="1">SUM(INDIRECT(ADDRESS(fixed_costs_min_row,COLUMN()) &amp; ":" &amp; ADDRESS(fixed_costs_max_row, COLUMN())))</f>
        <v>0</v>
      </c>
      <c r="DN33" s="20">
        <f t="array" aca="1" ref="DN33" ca="1">SUM(INDIRECT(ADDRESS(fixed_costs_min_row,COLUMN()) &amp; ":" &amp; ADDRESS(fixed_costs_max_row, COLUMN())))</f>
        <v>0</v>
      </c>
      <c r="DO33" s="20">
        <f t="array" aca="1" ref="DO33" ca="1">SUM(INDIRECT(ADDRESS(fixed_costs_min_row,COLUMN()) &amp; ":" &amp; ADDRESS(fixed_costs_max_row, COLUMN())))</f>
        <v>0</v>
      </c>
      <c r="DP33" s="20">
        <f t="array" aca="1" ref="DP33" ca="1">SUM(INDIRECT(ADDRESS(fixed_costs_min_row,COLUMN()) &amp; ":" &amp; ADDRESS(fixed_costs_max_row, COLUMN())))</f>
        <v>0</v>
      </c>
      <c r="DQ33" s="20">
        <f t="array" aca="1" ref="DQ33" ca="1">SUM(INDIRECT(ADDRESS(fixed_costs_min_row,COLUMN()) &amp; ":" &amp; ADDRESS(fixed_costs_max_row, COLUMN())))</f>
        <v>0</v>
      </c>
      <c r="DR33" s="20">
        <f t="array" aca="1" ref="DR33" ca="1">SUM(INDIRECT(ADDRESS(fixed_costs_min_row,COLUMN()) &amp; ":" &amp; ADDRESS(fixed_costs_max_row, COLUMN())))</f>
        <v>0</v>
      </c>
      <c r="DS33" s="20">
        <f t="array" aca="1" ref="DS33" ca="1">SUM(INDIRECT(ADDRESS(fixed_costs_min_row,COLUMN()) &amp; ":" &amp; ADDRESS(fixed_costs_max_row, COLUMN())))</f>
        <v>0</v>
      </c>
      <c r="DT33" s="20">
        <f t="array" aca="1" ref="DT33" ca="1">SUM(INDIRECT(ADDRESS(fixed_costs_min_row,COLUMN()) &amp; ":" &amp; ADDRESS(fixed_costs_max_row, COLUMN())))</f>
        <v>0</v>
      </c>
      <c r="DU33" s="20">
        <f t="array" aca="1" ref="DU33" ca="1">SUM(INDIRECT(ADDRESS(fixed_costs_min_row,COLUMN()) &amp; ":" &amp; ADDRESS(fixed_costs_max_row, COLUMN())))</f>
        <v>0</v>
      </c>
      <c r="DV33" s="20">
        <f t="array" aca="1" ref="DV33" ca="1">SUM(INDIRECT(ADDRESS(fixed_costs_min_row,COLUMN()) &amp; ":" &amp; ADDRESS(fixed_costs_max_row, COLUMN())))</f>
        <v>0</v>
      </c>
      <c r="DW33" s="20">
        <f t="array" aca="1" ref="DW33" ca="1">SUM(INDIRECT(ADDRESS(fixed_costs_min_row,COLUMN()) &amp; ":" &amp; ADDRESS(fixed_costs_max_row, COLUMN())))</f>
        <v>0</v>
      </c>
      <c r="DX33" s="20">
        <f t="array" aca="1" ref="DX33" ca="1">SUM(INDIRECT(ADDRESS(fixed_costs_min_row,COLUMN()) &amp; ":" &amp; ADDRESS(fixed_costs_max_row, COLUMN())))</f>
        <v>0</v>
      </c>
      <c r="DY33" s="20">
        <f t="array" aca="1" ref="DY33" ca="1">SUM(INDIRECT(ADDRESS(fixed_costs_min_row,COLUMN()) &amp; ":" &amp; ADDRESS(fixed_costs_max_row, COLUMN())))</f>
        <v>0</v>
      </c>
      <c r="EA33" s="20">
        <f t="array" aca="1" ref="EA33" ca="1">SUM(INDIRECT(ADDRESS(fixed_costs_min_row,COLUMN()) &amp; ":" &amp; ADDRESS(fixed_costs_max_row, COLUMN())))</f>
        <v>0</v>
      </c>
      <c r="EB33" s="20">
        <f t="array" aca="1" ref="EB33" ca="1">SUM(INDIRECT(ADDRESS(fixed_costs_min_row,COLUMN()) &amp; ":" &amp; ADDRESS(fixed_costs_max_row, COLUMN())))</f>
        <v>0</v>
      </c>
      <c r="EC33" s="20">
        <f t="array" aca="1" ref="EC33" ca="1">SUM(INDIRECT(ADDRESS(fixed_costs_min_row,COLUMN()) &amp; ":" &amp; ADDRESS(fixed_costs_max_row, COLUMN())))</f>
        <v>0</v>
      </c>
      <c r="ED33" s="20">
        <f t="array" aca="1" ref="ED33" ca="1">SUM(INDIRECT(ADDRESS(fixed_costs_min_row,COLUMN()) &amp; ":" &amp; ADDRESS(fixed_costs_max_row, COLUMN())))</f>
        <v>0</v>
      </c>
      <c r="EE33" s="20">
        <f t="array" aca="1" ref="EE33" ca="1">SUM(INDIRECT(ADDRESS(fixed_costs_min_row,COLUMN()) &amp; ":" &amp; ADDRESS(fixed_costs_max_row, COLUMN())))</f>
        <v>0</v>
      </c>
      <c r="EF33" s="20">
        <f t="array" aca="1" ref="EF33" ca="1">SUM(INDIRECT(ADDRESS(fixed_costs_min_row,COLUMN()) &amp; ":" &amp; ADDRESS(fixed_costs_max_row, COLUMN())))</f>
        <v>0</v>
      </c>
      <c r="EG33" s="20">
        <f t="array" aca="1" ref="EG33" ca="1">SUM(INDIRECT(ADDRESS(fixed_costs_min_row,COLUMN()) &amp; ":" &amp; ADDRESS(fixed_costs_max_row, COLUMN())))</f>
        <v>0</v>
      </c>
      <c r="EH33" s="20">
        <f t="array" aca="1" ref="EH33" ca="1">SUM(INDIRECT(ADDRESS(fixed_costs_min_row,COLUMN()) &amp; ":" &amp; ADDRESS(fixed_costs_max_row, COLUMN())))</f>
        <v>0</v>
      </c>
      <c r="EI33" s="20">
        <f t="array" aca="1" ref="EI33" ca="1">SUM(INDIRECT(ADDRESS(fixed_costs_min_row,COLUMN()) &amp; ":" &amp; ADDRESS(fixed_costs_max_row, COLUMN())))</f>
        <v>0</v>
      </c>
      <c r="EJ33" s="20">
        <f t="array" aca="1" ref="EJ33" ca="1">SUM(INDIRECT(ADDRESS(fixed_costs_min_row,COLUMN()) &amp; ":" &amp; ADDRESS(fixed_costs_max_row, COLUMN())))</f>
        <v>0</v>
      </c>
      <c r="EK33" s="20">
        <f t="array" aca="1" ref="EK33" ca="1">SUM(INDIRECT(ADDRESS(fixed_costs_min_row,COLUMN()) &amp; ":" &amp; ADDRESS(fixed_costs_max_row, COLUMN())))</f>
        <v>0</v>
      </c>
      <c r="EL33" s="20">
        <f t="array" aca="1" ref="EL33" ca="1">SUM(INDIRECT(ADDRESS(fixed_costs_min_row,COLUMN()) &amp; ":" &amp; ADDRESS(fixed_costs_max_row, COLUMN())))</f>
        <v>0</v>
      </c>
      <c r="EM33" s="20">
        <f t="array" aca="1" ref="EM33" ca="1">SUM(INDIRECT(ADDRESS(fixed_costs_min_row,COLUMN()) &amp; ":" &amp; ADDRESS(fixed_costs_max_row, COLUMN())))</f>
        <v>0</v>
      </c>
      <c r="EO33" s="20">
        <f t="array" aca="1" ref="EO33" ca="1">SUM(INDIRECT(ADDRESS(fixed_costs_min_row,COLUMN()) &amp; ":" &amp; ADDRESS(fixed_costs_max_row, COLUMN())))</f>
        <v>0</v>
      </c>
      <c r="EP33" s="20">
        <f t="array" aca="1" ref="EP33" ca="1">SUM(INDIRECT(ADDRESS(fixed_costs_min_row,COLUMN()) &amp; ":" &amp; ADDRESS(fixed_costs_max_row, COLUMN())))</f>
        <v>0</v>
      </c>
      <c r="EQ33" s="20">
        <f t="array" aca="1" ref="EQ33" ca="1">SUM(INDIRECT(ADDRESS(fixed_costs_min_row,COLUMN()) &amp; ":" &amp; ADDRESS(fixed_costs_max_row, COLUMN())))</f>
        <v>0</v>
      </c>
      <c r="ER33" s="20">
        <f t="array" aca="1" ref="ER33" ca="1">SUM(INDIRECT(ADDRESS(fixed_costs_min_row,COLUMN()) &amp; ":" &amp; ADDRESS(fixed_costs_max_row, COLUMN())))</f>
        <v>0</v>
      </c>
      <c r="ES33" s="20">
        <f t="array" aca="1" ref="ES33" ca="1">SUM(INDIRECT(ADDRESS(fixed_costs_min_row,COLUMN()) &amp; ":" &amp; ADDRESS(fixed_costs_max_row, COLUMN())))</f>
        <v>0</v>
      </c>
      <c r="ET33" s="20">
        <f t="array" aca="1" ref="ET33" ca="1">SUM(INDIRECT(ADDRESS(fixed_costs_min_row,COLUMN()) &amp; ":" &amp; ADDRESS(fixed_costs_max_row, COLUMN())))</f>
        <v>0</v>
      </c>
      <c r="EU33" s="20">
        <f t="array" aca="1" ref="EU33" ca="1">SUM(INDIRECT(ADDRESS(fixed_costs_min_row,COLUMN()) &amp; ":" &amp; ADDRESS(fixed_costs_max_row, COLUMN())))</f>
        <v>0</v>
      </c>
      <c r="EV33" s="20">
        <f t="array" aca="1" ref="EV33" ca="1">SUM(INDIRECT(ADDRESS(fixed_costs_min_row,COLUMN()) &amp; ":" &amp; ADDRESS(fixed_costs_max_row, COLUMN())))</f>
        <v>0</v>
      </c>
      <c r="EW33" s="20">
        <f t="array" aca="1" ref="EW33" ca="1">SUM(INDIRECT(ADDRESS(fixed_costs_min_row,COLUMN()) &amp; ":" &amp; ADDRESS(fixed_costs_max_row, COLUMN())))</f>
        <v>0</v>
      </c>
      <c r="EX33" s="20">
        <f t="array" aca="1" ref="EX33" ca="1">SUM(INDIRECT(ADDRESS(fixed_costs_min_row,COLUMN()) &amp; ":" &amp; ADDRESS(fixed_costs_max_row, COLUMN())))</f>
        <v>0</v>
      </c>
      <c r="EY33" s="20">
        <f t="array" aca="1" ref="EY33" ca="1">SUM(INDIRECT(ADDRESS(fixed_costs_min_row,COLUMN()) &amp; ":" &amp; ADDRESS(fixed_costs_max_row, COLUMN())))</f>
        <v>0</v>
      </c>
      <c r="EZ33" s="20">
        <f t="array" aca="1" ref="EZ33" ca="1">SUM(INDIRECT(ADDRESS(fixed_costs_min_row,COLUMN()) &amp; ":" &amp; ADDRESS(fixed_costs_max_row, COLUMN())))</f>
        <v>0</v>
      </c>
      <c r="FA33" s="20">
        <f t="array" aca="1" ref="FA33" ca="1">SUM(INDIRECT(ADDRESS(fixed_costs_min_row,COLUMN()) &amp; ":" &amp; ADDRESS(fixed_costs_max_row, COLUMN())))</f>
        <v>0</v>
      </c>
    </row>
    <row r="35" spans="3:157" x14ac:dyDescent="0.3">
      <c r="C35" s="28" t="s">
        <v>9</v>
      </c>
      <c r="E35" s="29">
        <f>DATE(E$5,1,1)</f>
        <v>45658</v>
      </c>
      <c r="F35" s="29">
        <f>DATE(E$5,2,1)</f>
        <v>45689</v>
      </c>
      <c r="G35" s="29">
        <f>DATE(E$5,3,1)</f>
        <v>45717</v>
      </c>
      <c r="H35" s="29">
        <f>DATE(E$5,4,1)</f>
        <v>45748</v>
      </c>
      <c r="I35" s="29">
        <f>DATE(E$5,5,1)</f>
        <v>45778</v>
      </c>
      <c r="J35" s="29">
        <f>DATE(E$5,6,1)</f>
        <v>45809</v>
      </c>
      <c r="K35" s="29">
        <f>DATE(E$5,7,1)</f>
        <v>45839</v>
      </c>
      <c r="L35" s="29">
        <f>DATE(E$5,8,1)</f>
        <v>45870</v>
      </c>
      <c r="M35" s="29">
        <f>DATE(E$5,9,1)</f>
        <v>45901</v>
      </c>
      <c r="N35" s="29">
        <f>DATE(E$5,10,1)</f>
        <v>45931</v>
      </c>
      <c r="O35" s="29">
        <f>DATE(E$5,11,1)</f>
        <v>45962</v>
      </c>
      <c r="P35" s="29">
        <f>DATE(E$5,12,1)</f>
        <v>45992</v>
      </c>
      <c r="Q35" s="30">
        <f>E$5</f>
        <v>2025</v>
      </c>
      <c r="S35" s="29">
        <f>DATE(S$5,1,1)</f>
        <v>46023</v>
      </c>
      <c r="T35" s="29">
        <f>DATE(S$5,2,1)</f>
        <v>46054</v>
      </c>
      <c r="U35" s="29">
        <f>DATE(S$5,3,1)</f>
        <v>46082</v>
      </c>
      <c r="V35" s="29">
        <f>DATE(S$5,4,1)</f>
        <v>46113</v>
      </c>
      <c r="W35" s="29">
        <f>DATE(S$5,5,1)</f>
        <v>46143</v>
      </c>
      <c r="X35" s="29">
        <f>DATE(S$5,6,1)</f>
        <v>46174</v>
      </c>
      <c r="Y35" s="29">
        <f>DATE(S$5,7,1)</f>
        <v>46204</v>
      </c>
      <c r="Z35" s="29">
        <f>DATE(S$5,8,1)</f>
        <v>46235</v>
      </c>
      <c r="AA35" s="29">
        <f>DATE(S$5,9,1)</f>
        <v>46266</v>
      </c>
      <c r="AB35" s="29">
        <f>DATE(S$5,10,1)</f>
        <v>46296</v>
      </c>
      <c r="AC35" s="29">
        <f>DATE(S$5,11,1)</f>
        <v>46327</v>
      </c>
      <c r="AD35" s="29">
        <f>DATE(S$5,12,1)</f>
        <v>46357</v>
      </c>
      <c r="AE35" s="30">
        <f>S$5</f>
        <v>2026</v>
      </c>
      <c r="AG35" s="29">
        <f>DATE(AG$5,1,1)</f>
        <v>46388</v>
      </c>
      <c r="AH35" s="29">
        <f>DATE(AG$5,2,1)</f>
        <v>46419</v>
      </c>
      <c r="AI35" s="29">
        <f>DATE(AG$5,3,1)</f>
        <v>46447</v>
      </c>
      <c r="AJ35" s="29">
        <f>DATE(AG$5,4,1)</f>
        <v>46478</v>
      </c>
      <c r="AK35" s="29">
        <f>DATE(AG$5,5,1)</f>
        <v>46508</v>
      </c>
      <c r="AL35" s="29">
        <f>DATE(AG$5,6,1)</f>
        <v>46539</v>
      </c>
      <c r="AM35" s="29">
        <f>DATE(AG$5,7,1)</f>
        <v>46569</v>
      </c>
      <c r="AN35" s="29">
        <f>DATE(AG$5,8,1)</f>
        <v>46600</v>
      </c>
      <c r="AO35" s="29">
        <f>DATE(AG$5,9,1)</f>
        <v>46631</v>
      </c>
      <c r="AP35" s="29">
        <f>DATE(AG$5,10,1)</f>
        <v>46661</v>
      </c>
      <c r="AQ35" s="29">
        <f>DATE(AG$5,11,1)</f>
        <v>46692</v>
      </c>
      <c r="AR35" s="29">
        <f>DATE(AG$5,12,1)</f>
        <v>46722</v>
      </c>
      <c r="AS35" s="30">
        <f>AG$5</f>
        <v>2027</v>
      </c>
      <c r="AU35" s="29">
        <f>DATE(AU$5,1,1)</f>
        <v>46753</v>
      </c>
      <c r="AV35" s="29">
        <f>DATE(AU$5,2,1)</f>
        <v>46784</v>
      </c>
      <c r="AW35" s="29">
        <f>DATE(AU$5,3,1)</f>
        <v>46813</v>
      </c>
      <c r="AX35" s="29">
        <f>DATE(AU$5,4,1)</f>
        <v>46844</v>
      </c>
      <c r="AY35" s="29">
        <f>DATE(AU$5,5,1)</f>
        <v>46874</v>
      </c>
      <c r="AZ35" s="29">
        <f>DATE(AU$5,6,1)</f>
        <v>46905</v>
      </c>
      <c r="BA35" s="29">
        <f>DATE(AU$5,7,1)</f>
        <v>46935</v>
      </c>
      <c r="BB35" s="29">
        <f>DATE(AU$5,8,1)</f>
        <v>46966</v>
      </c>
      <c r="BC35" s="29">
        <f>DATE(AU$5,9,1)</f>
        <v>46997</v>
      </c>
      <c r="BD35" s="29">
        <f>DATE(AU$5,10,1)</f>
        <v>47027</v>
      </c>
      <c r="BE35" s="29">
        <f>DATE(AU$5,11,1)</f>
        <v>47058</v>
      </c>
      <c r="BF35" s="29">
        <f>DATE(AU$5,12,1)</f>
        <v>47088</v>
      </c>
      <c r="BG35" s="30">
        <f>AU$5</f>
        <v>2028</v>
      </c>
      <c r="BI35" s="29">
        <f>DATE(BI$5,1,1)</f>
        <v>47119</v>
      </c>
      <c r="BJ35" s="29">
        <f>DATE(BI$5,2,1)</f>
        <v>47150</v>
      </c>
      <c r="BK35" s="29">
        <f>DATE(BI$5,3,1)</f>
        <v>47178</v>
      </c>
      <c r="BL35" s="29">
        <f>DATE(BI$5,4,1)</f>
        <v>47209</v>
      </c>
      <c r="BM35" s="29">
        <f>DATE(BI$5,5,1)</f>
        <v>47239</v>
      </c>
      <c r="BN35" s="29">
        <f>DATE(BI$5,6,1)</f>
        <v>47270</v>
      </c>
      <c r="BO35" s="29">
        <f>DATE(BI$5,7,1)</f>
        <v>47300</v>
      </c>
      <c r="BP35" s="29">
        <f>DATE(BI$5,8,1)</f>
        <v>47331</v>
      </c>
      <c r="BQ35" s="29">
        <f>DATE(BI$5,9,1)</f>
        <v>47362</v>
      </c>
      <c r="BR35" s="29">
        <f>DATE(BI$5,10,1)</f>
        <v>47392</v>
      </c>
      <c r="BS35" s="29">
        <f>DATE(BI$5,11,1)</f>
        <v>47423</v>
      </c>
      <c r="BT35" s="29">
        <f>DATE(BI$5,12,1)</f>
        <v>47453</v>
      </c>
      <c r="BU35" s="30">
        <f>BI$5</f>
        <v>2029</v>
      </c>
      <c r="BW35" s="29">
        <f>DATE(BW$5,1,1)</f>
        <v>47484</v>
      </c>
      <c r="BX35" s="29">
        <f>DATE(BW$5,2,1)</f>
        <v>47515</v>
      </c>
      <c r="BY35" s="29">
        <f>DATE(BW$5,3,1)</f>
        <v>47543</v>
      </c>
      <c r="BZ35" s="29">
        <f>DATE(BW$5,4,1)</f>
        <v>47574</v>
      </c>
      <c r="CA35" s="29">
        <f>DATE(BW$5,5,1)</f>
        <v>47604</v>
      </c>
      <c r="CB35" s="29">
        <f>DATE(BW$5,6,1)</f>
        <v>47635</v>
      </c>
      <c r="CC35" s="29">
        <f>DATE(BW$5,7,1)</f>
        <v>47665</v>
      </c>
      <c r="CD35" s="29">
        <f>DATE(BW$5,8,1)</f>
        <v>47696</v>
      </c>
      <c r="CE35" s="29">
        <f>DATE(BW$5,9,1)</f>
        <v>47727</v>
      </c>
      <c r="CF35" s="29">
        <f>DATE(BW$5,10,1)</f>
        <v>47757</v>
      </c>
      <c r="CG35" s="29">
        <f>DATE(BW$5,11,1)</f>
        <v>47788</v>
      </c>
      <c r="CH35" s="29">
        <f>DATE(BW$5,12,1)</f>
        <v>47818</v>
      </c>
      <c r="CI35" s="30">
        <f>BW$5</f>
        <v>2030</v>
      </c>
      <c r="CK35" s="29">
        <f>DATE(CK$5,1,1)</f>
        <v>47849</v>
      </c>
      <c r="CL35" s="29">
        <f>DATE(CK$5,2,1)</f>
        <v>47880</v>
      </c>
      <c r="CM35" s="29">
        <f>DATE(CK$5,3,1)</f>
        <v>47908</v>
      </c>
      <c r="CN35" s="29">
        <f>DATE(CK$5,4,1)</f>
        <v>47939</v>
      </c>
      <c r="CO35" s="29">
        <f>DATE(CK$5,5,1)</f>
        <v>47969</v>
      </c>
      <c r="CP35" s="29">
        <f>DATE(CK$5,6,1)</f>
        <v>48000</v>
      </c>
      <c r="CQ35" s="29">
        <f>DATE(CK$5,7,1)</f>
        <v>48030</v>
      </c>
      <c r="CR35" s="29">
        <f>DATE(CK$5,8,1)</f>
        <v>48061</v>
      </c>
      <c r="CS35" s="29">
        <f>DATE(CK$5,9,1)</f>
        <v>48092</v>
      </c>
      <c r="CT35" s="29">
        <f>DATE(CK$5,10,1)</f>
        <v>48122</v>
      </c>
      <c r="CU35" s="29">
        <f>DATE(CK$5,11,1)</f>
        <v>48153</v>
      </c>
      <c r="CV35" s="29">
        <f>DATE(CK$5,12,1)</f>
        <v>48183</v>
      </c>
      <c r="CW35" s="30">
        <f>CK$5</f>
        <v>2031</v>
      </c>
      <c r="CY35" s="29">
        <f>DATE(CY$5,1,1)</f>
        <v>48214</v>
      </c>
      <c r="CZ35" s="29">
        <f>DATE(CY$5,2,1)</f>
        <v>48245</v>
      </c>
      <c r="DA35" s="29">
        <f>DATE(CY$5,3,1)</f>
        <v>48274</v>
      </c>
      <c r="DB35" s="29">
        <f>DATE(CY$5,4,1)</f>
        <v>48305</v>
      </c>
      <c r="DC35" s="29">
        <f>DATE(CY$5,5,1)</f>
        <v>48335</v>
      </c>
      <c r="DD35" s="29">
        <f>DATE(CY$5,6,1)</f>
        <v>48366</v>
      </c>
      <c r="DE35" s="29">
        <f>DATE(CY$5,7,1)</f>
        <v>48396</v>
      </c>
      <c r="DF35" s="29">
        <f>DATE(CY$5,8,1)</f>
        <v>48427</v>
      </c>
      <c r="DG35" s="29">
        <f>DATE(CY$5,9,1)</f>
        <v>48458</v>
      </c>
      <c r="DH35" s="29">
        <f>DATE(CY$5,10,1)</f>
        <v>48488</v>
      </c>
      <c r="DI35" s="29">
        <f>DATE(CY$5,11,1)</f>
        <v>48519</v>
      </c>
      <c r="DJ35" s="29">
        <f>DATE(CY$5,12,1)</f>
        <v>48549</v>
      </c>
      <c r="DK35" s="30">
        <f>CY$5</f>
        <v>2032</v>
      </c>
      <c r="DM35" s="29">
        <f>DATE(DM$5,1,1)</f>
        <v>48580</v>
      </c>
      <c r="DN35" s="29">
        <f>DATE(DM$5,2,1)</f>
        <v>48611</v>
      </c>
      <c r="DO35" s="29">
        <f>DATE(DM$5,3,1)</f>
        <v>48639</v>
      </c>
      <c r="DP35" s="29">
        <f>DATE(DM$5,4,1)</f>
        <v>48670</v>
      </c>
      <c r="DQ35" s="29">
        <f>DATE(DM$5,5,1)</f>
        <v>48700</v>
      </c>
      <c r="DR35" s="29">
        <f>DATE(DM$5,6,1)</f>
        <v>48731</v>
      </c>
      <c r="DS35" s="29">
        <f>DATE(DM$5,7,1)</f>
        <v>48761</v>
      </c>
      <c r="DT35" s="29">
        <f>DATE(DM$5,8,1)</f>
        <v>48792</v>
      </c>
      <c r="DU35" s="29">
        <f>DATE(DM$5,9,1)</f>
        <v>48823</v>
      </c>
      <c r="DV35" s="29">
        <f>DATE(DM$5,10,1)</f>
        <v>48853</v>
      </c>
      <c r="DW35" s="29">
        <f>DATE(DM$5,11,1)</f>
        <v>48884</v>
      </c>
      <c r="DX35" s="29">
        <f>DATE(DM$5,12,1)</f>
        <v>48914</v>
      </c>
      <c r="DY35" s="30">
        <f>DM$5</f>
        <v>2033</v>
      </c>
      <c r="EA35" s="29">
        <f>DATE(EA$5,1,1)</f>
        <v>48945</v>
      </c>
      <c r="EB35" s="29">
        <f>DATE(EA$5,2,1)</f>
        <v>48976</v>
      </c>
      <c r="EC35" s="29">
        <f>DATE(EA$5,3,1)</f>
        <v>49004</v>
      </c>
      <c r="ED35" s="29">
        <f>DATE(EA$5,4,1)</f>
        <v>49035</v>
      </c>
      <c r="EE35" s="29">
        <f>DATE(EA$5,5,1)</f>
        <v>49065</v>
      </c>
      <c r="EF35" s="29">
        <f>DATE(EA$5,6,1)</f>
        <v>49096</v>
      </c>
      <c r="EG35" s="29">
        <f>DATE(EA$5,7,1)</f>
        <v>49126</v>
      </c>
      <c r="EH35" s="29">
        <f>DATE(EA$5,8,1)</f>
        <v>49157</v>
      </c>
      <c r="EI35" s="29">
        <f>DATE(EA$5,9,1)</f>
        <v>49188</v>
      </c>
      <c r="EJ35" s="29">
        <f>DATE(EA$5,10,1)</f>
        <v>49218</v>
      </c>
      <c r="EK35" s="29">
        <f>DATE(EA$5,11,1)</f>
        <v>49249</v>
      </c>
      <c r="EL35" s="29">
        <f>DATE(EA$5,12,1)</f>
        <v>49279</v>
      </c>
      <c r="EM35" s="30">
        <f>EA$5</f>
        <v>2034</v>
      </c>
      <c r="EO35" s="29">
        <f>DATE(EO$5,1,1)</f>
        <v>49310</v>
      </c>
      <c r="EP35" s="29">
        <f>DATE(EO$5,2,1)</f>
        <v>49341</v>
      </c>
      <c r="EQ35" s="29">
        <f>DATE(EO$5,3,1)</f>
        <v>49369</v>
      </c>
      <c r="ER35" s="29">
        <f>DATE(EO$5,4,1)</f>
        <v>49400</v>
      </c>
      <c r="ES35" s="29">
        <f>DATE(EO$5,5,1)</f>
        <v>49430</v>
      </c>
      <c r="ET35" s="29">
        <f>DATE(EO$5,6,1)</f>
        <v>49461</v>
      </c>
      <c r="EU35" s="29">
        <f>DATE(EO$5,7,1)</f>
        <v>49491</v>
      </c>
      <c r="EV35" s="29">
        <f>DATE(EO$5,8,1)</f>
        <v>49522</v>
      </c>
      <c r="EW35" s="29">
        <f>DATE(EO$5,9,1)</f>
        <v>49553</v>
      </c>
      <c r="EX35" s="29">
        <f>DATE(EO$5,10,1)</f>
        <v>49583</v>
      </c>
      <c r="EY35" s="29">
        <f>DATE(EO$5,11,1)</f>
        <v>49614</v>
      </c>
      <c r="EZ35" s="29">
        <f>DATE(EO$5,12,1)</f>
        <v>49644</v>
      </c>
      <c r="FA35" s="30">
        <f>EO$5</f>
        <v>2035</v>
      </c>
    </row>
    <row r="36" spans="3:157" x14ac:dyDescent="0.3">
      <c r="C36" s="138" t="s">
        <v>105</v>
      </c>
      <c r="D36" s="139"/>
      <c r="E36" s="140">
        <v>10</v>
      </c>
      <c r="F36" s="140">
        <v>50</v>
      </c>
      <c r="G36" s="140">
        <v>11</v>
      </c>
      <c r="H36" s="140">
        <v>22</v>
      </c>
      <c r="I36" s="140">
        <v>10</v>
      </c>
      <c r="J36" s="140">
        <v>50</v>
      </c>
      <c r="K36" s="140">
        <v>11</v>
      </c>
      <c r="L36" s="140">
        <v>22</v>
      </c>
      <c r="M36" s="140">
        <v>10</v>
      </c>
      <c r="N36" s="140">
        <v>50</v>
      </c>
      <c r="O36" s="140">
        <v>11</v>
      </c>
      <c r="P36" s="140">
        <v>22</v>
      </c>
      <c r="Q36" s="141">
        <f t="shared" ref="Q36:Q45" si="33">SUM(E36:P36)</f>
        <v>279</v>
      </c>
      <c r="R36" s="139"/>
      <c r="S36" s="140"/>
      <c r="T36" s="140"/>
      <c r="U36" s="140"/>
      <c r="V36" s="140"/>
      <c r="W36" s="140"/>
      <c r="X36" s="140"/>
      <c r="Y36" s="140"/>
      <c r="Z36" s="140"/>
      <c r="AA36" s="140"/>
      <c r="AB36" s="140"/>
      <c r="AC36" s="140"/>
      <c r="AD36" s="140"/>
      <c r="AE36" s="141">
        <f t="shared" ref="AE36:AE45" si="34">SUM(S36:AD36)</f>
        <v>0</v>
      </c>
      <c r="AF36" s="139"/>
      <c r="AG36" s="140"/>
      <c r="AH36" s="140"/>
      <c r="AI36" s="140"/>
      <c r="AJ36" s="140"/>
      <c r="AK36" s="140"/>
      <c r="AL36" s="140"/>
      <c r="AM36" s="140"/>
      <c r="AN36" s="140"/>
      <c r="AO36" s="140"/>
      <c r="AP36" s="140"/>
      <c r="AQ36" s="140"/>
      <c r="AR36" s="140"/>
      <c r="AS36" s="141">
        <f t="shared" ref="AS36:AS45" si="35">SUM(AG36:AR36)</f>
        <v>0</v>
      </c>
      <c r="AT36" s="139"/>
      <c r="AU36" s="140"/>
      <c r="AV36" s="140"/>
      <c r="AW36" s="140"/>
      <c r="AX36" s="140"/>
      <c r="AY36" s="140"/>
      <c r="AZ36" s="140"/>
      <c r="BA36" s="140"/>
      <c r="BB36" s="140"/>
      <c r="BC36" s="140"/>
      <c r="BD36" s="140"/>
      <c r="BE36" s="140"/>
      <c r="BF36" s="140"/>
      <c r="BG36" s="141">
        <f t="shared" ref="BG36:BG45" si="36">SUM(AU36:BF36)</f>
        <v>0</v>
      </c>
      <c r="BH36" s="139"/>
      <c r="BI36" s="140"/>
      <c r="BJ36" s="140"/>
      <c r="BK36" s="140"/>
      <c r="BL36" s="140"/>
      <c r="BM36" s="140"/>
      <c r="BN36" s="140"/>
      <c r="BO36" s="140"/>
      <c r="BP36" s="140"/>
      <c r="BQ36" s="140"/>
      <c r="BR36" s="140"/>
      <c r="BS36" s="140"/>
      <c r="BT36" s="140"/>
      <c r="BU36" s="141">
        <f t="shared" ref="BU36:BU45" si="37">SUM(BI36:BT36)</f>
        <v>0</v>
      </c>
      <c r="BV36" s="139"/>
      <c r="BW36" s="140"/>
      <c r="BX36" s="140"/>
      <c r="BY36" s="140"/>
      <c r="BZ36" s="140"/>
      <c r="CA36" s="140"/>
      <c r="CB36" s="140"/>
      <c r="CC36" s="140"/>
      <c r="CD36" s="140"/>
      <c r="CE36" s="140"/>
      <c r="CF36" s="140"/>
      <c r="CG36" s="140"/>
      <c r="CH36" s="140"/>
      <c r="CI36" s="141">
        <f t="shared" ref="CI36:CI45" si="38">SUM(BW36:CH36)</f>
        <v>0</v>
      </c>
      <c r="CJ36" s="139"/>
      <c r="CK36" s="140"/>
      <c r="CL36" s="140"/>
      <c r="CM36" s="140"/>
      <c r="CN36" s="140"/>
      <c r="CO36" s="140"/>
      <c r="CP36" s="140"/>
      <c r="CQ36" s="140"/>
      <c r="CR36" s="140"/>
      <c r="CS36" s="140"/>
      <c r="CT36" s="140"/>
      <c r="CU36" s="140"/>
      <c r="CV36" s="140"/>
      <c r="CW36" s="141">
        <f t="shared" ref="CW36:CW45" si="39">SUM(CK36:CV36)</f>
        <v>0</v>
      </c>
      <c r="CX36" s="139"/>
      <c r="CY36" s="140"/>
      <c r="CZ36" s="140"/>
      <c r="DA36" s="140"/>
      <c r="DB36" s="140"/>
      <c r="DC36" s="140"/>
      <c r="DD36" s="140"/>
      <c r="DE36" s="140"/>
      <c r="DF36" s="140"/>
      <c r="DG36" s="140"/>
      <c r="DH36" s="140"/>
      <c r="DI36" s="140"/>
      <c r="DJ36" s="140"/>
      <c r="DK36" s="141">
        <f t="shared" ref="DK36:DK45" si="40">SUM(CY36:DJ36)</f>
        <v>0</v>
      </c>
      <c r="DL36" s="139"/>
      <c r="DM36" s="140"/>
      <c r="DN36" s="140"/>
      <c r="DO36" s="140"/>
      <c r="DP36" s="140"/>
      <c r="DQ36" s="140"/>
      <c r="DR36" s="140"/>
      <c r="DS36" s="140"/>
      <c r="DT36" s="140"/>
      <c r="DU36" s="140"/>
      <c r="DV36" s="140"/>
      <c r="DW36" s="140"/>
      <c r="DX36" s="140"/>
      <c r="DY36" s="141">
        <f t="shared" ref="DY36:DY45" si="41">SUM(DM36:DX36)</f>
        <v>0</v>
      </c>
      <c r="DZ36" s="139"/>
      <c r="EA36" s="140"/>
      <c r="EB36" s="140"/>
      <c r="EC36" s="140"/>
      <c r="ED36" s="140"/>
      <c r="EE36" s="140"/>
      <c r="EF36" s="140"/>
      <c r="EG36" s="140"/>
      <c r="EH36" s="140"/>
      <c r="EI36" s="140"/>
      <c r="EJ36" s="140"/>
      <c r="EK36" s="140"/>
      <c r="EL36" s="140"/>
      <c r="EM36" s="141">
        <f t="shared" ref="EM36:EM45" si="42">SUM(EA36:EL36)</f>
        <v>0</v>
      </c>
      <c r="EN36" s="139"/>
      <c r="EO36" s="140"/>
      <c r="EP36" s="140"/>
      <c r="EQ36" s="140"/>
      <c r="ER36" s="140"/>
      <c r="ES36" s="140"/>
      <c r="ET36" s="140"/>
      <c r="EU36" s="140"/>
      <c r="EV36" s="140"/>
      <c r="EW36" s="140"/>
      <c r="EX36" s="140"/>
      <c r="EY36" s="140"/>
      <c r="EZ36" s="140"/>
      <c r="FA36" s="141">
        <f t="shared" ref="FA36:FA45" si="43">SUM(EO36:EZ36)</f>
        <v>0</v>
      </c>
    </row>
    <row r="37" spans="3:157" x14ac:dyDescent="0.3">
      <c r="C37" s="138" t="s">
        <v>10</v>
      </c>
      <c r="D37" s="139"/>
      <c r="E37" s="140">
        <v>238</v>
      </c>
      <c r="F37" s="140">
        <v>23</v>
      </c>
      <c r="G37" s="140">
        <v>123</v>
      </c>
      <c r="H37" s="140"/>
      <c r="I37" s="140">
        <v>238</v>
      </c>
      <c r="J37" s="140">
        <v>23</v>
      </c>
      <c r="K37" s="140">
        <v>123</v>
      </c>
      <c r="L37" s="140"/>
      <c r="M37" s="140">
        <v>238</v>
      </c>
      <c r="N37" s="140">
        <v>23</v>
      </c>
      <c r="O37" s="140">
        <v>123</v>
      </c>
      <c r="P37" s="140"/>
      <c r="Q37" s="141">
        <f t="shared" si="33"/>
        <v>1152</v>
      </c>
      <c r="R37" s="139"/>
      <c r="S37" s="140"/>
      <c r="T37" s="140"/>
      <c r="U37" s="140"/>
      <c r="V37" s="140"/>
      <c r="W37" s="140"/>
      <c r="X37" s="140"/>
      <c r="Y37" s="140"/>
      <c r="Z37" s="140"/>
      <c r="AA37" s="140"/>
      <c r="AB37" s="140"/>
      <c r="AC37" s="140"/>
      <c r="AD37" s="140"/>
      <c r="AE37" s="141">
        <f t="shared" si="34"/>
        <v>0</v>
      </c>
      <c r="AF37" s="139"/>
      <c r="AG37" s="140"/>
      <c r="AH37" s="140"/>
      <c r="AI37" s="140"/>
      <c r="AJ37" s="140"/>
      <c r="AK37" s="140"/>
      <c r="AL37" s="140"/>
      <c r="AM37" s="140"/>
      <c r="AN37" s="140"/>
      <c r="AO37" s="140"/>
      <c r="AP37" s="140"/>
      <c r="AQ37" s="140"/>
      <c r="AR37" s="140"/>
      <c r="AS37" s="141">
        <f t="shared" si="35"/>
        <v>0</v>
      </c>
      <c r="AT37" s="139"/>
      <c r="AU37" s="140"/>
      <c r="AV37" s="140"/>
      <c r="AW37" s="140"/>
      <c r="AX37" s="140"/>
      <c r="AY37" s="140"/>
      <c r="AZ37" s="140"/>
      <c r="BA37" s="140"/>
      <c r="BB37" s="140"/>
      <c r="BC37" s="140"/>
      <c r="BD37" s="140"/>
      <c r="BE37" s="140"/>
      <c r="BF37" s="140"/>
      <c r="BG37" s="141">
        <f t="shared" si="36"/>
        <v>0</v>
      </c>
      <c r="BH37" s="139"/>
      <c r="BI37" s="140"/>
      <c r="BJ37" s="140"/>
      <c r="BK37" s="140"/>
      <c r="BL37" s="140"/>
      <c r="BM37" s="140"/>
      <c r="BN37" s="140"/>
      <c r="BO37" s="140"/>
      <c r="BP37" s="140"/>
      <c r="BQ37" s="140"/>
      <c r="BR37" s="140"/>
      <c r="BS37" s="140"/>
      <c r="BT37" s="140"/>
      <c r="BU37" s="141">
        <f t="shared" si="37"/>
        <v>0</v>
      </c>
      <c r="BV37" s="139"/>
      <c r="BW37" s="140"/>
      <c r="BX37" s="140"/>
      <c r="BY37" s="140"/>
      <c r="BZ37" s="140"/>
      <c r="CA37" s="140"/>
      <c r="CB37" s="140"/>
      <c r="CC37" s="140"/>
      <c r="CD37" s="140"/>
      <c r="CE37" s="140"/>
      <c r="CF37" s="140"/>
      <c r="CG37" s="140"/>
      <c r="CH37" s="140"/>
      <c r="CI37" s="141">
        <f t="shared" si="38"/>
        <v>0</v>
      </c>
      <c r="CJ37" s="139"/>
      <c r="CK37" s="140"/>
      <c r="CL37" s="140"/>
      <c r="CM37" s="140"/>
      <c r="CN37" s="140"/>
      <c r="CO37" s="140"/>
      <c r="CP37" s="140"/>
      <c r="CQ37" s="140"/>
      <c r="CR37" s="140"/>
      <c r="CS37" s="140"/>
      <c r="CT37" s="140"/>
      <c r="CU37" s="140"/>
      <c r="CV37" s="140"/>
      <c r="CW37" s="141">
        <f t="shared" si="39"/>
        <v>0</v>
      </c>
      <c r="CX37" s="139"/>
      <c r="CY37" s="140"/>
      <c r="CZ37" s="140"/>
      <c r="DA37" s="140"/>
      <c r="DB37" s="140"/>
      <c r="DC37" s="140"/>
      <c r="DD37" s="140"/>
      <c r="DE37" s="140"/>
      <c r="DF37" s="140"/>
      <c r="DG37" s="140"/>
      <c r="DH37" s="140"/>
      <c r="DI37" s="140"/>
      <c r="DJ37" s="140"/>
      <c r="DK37" s="141">
        <f t="shared" si="40"/>
        <v>0</v>
      </c>
      <c r="DL37" s="139"/>
      <c r="DM37" s="140"/>
      <c r="DN37" s="140"/>
      <c r="DO37" s="140"/>
      <c r="DP37" s="140"/>
      <c r="DQ37" s="140"/>
      <c r="DR37" s="140"/>
      <c r="DS37" s="140"/>
      <c r="DT37" s="140"/>
      <c r="DU37" s="140"/>
      <c r="DV37" s="140"/>
      <c r="DW37" s="140"/>
      <c r="DX37" s="140"/>
      <c r="DY37" s="141">
        <f t="shared" si="41"/>
        <v>0</v>
      </c>
      <c r="DZ37" s="139"/>
      <c r="EA37" s="140"/>
      <c r="EB37" s="140"/>
      <c r="EC37" s="140"/>
      <c r="ED37" s="140"/>
      <c r="EE37" s="140"/>
      <c r="EF37" s="140"/>
      <c r="EG37" s="140"/>
      <c r="EH37" s="140"/>
      <c r="EI37" s="140"/>
      <c r="EJ37" s="140"/>
      <c r="EK37" s="140"/>
      <c r="EL37" s="140"/>
      <c r="EM37" s="141">
        <f t="shared" si="42"/>
        <v>0</v>
      </c>
      <c r="EN37" s="139"/>
      <c r="EO37" s="140"/>
      <c r="EP37" s="140"/>
      <c r="EQ37" s="140"/>
      <c r="ER37" s="140"/>
      <c r="ES37" s="140"/>
      <c r="ET37" s="140"/>
      <c r="EU37" s="140"/>
      <c r="EV37" s="140"/>
      <c r="EW37" s="140"/>
      <c r="EX37" s="140"/>
      <c r="EY37" s="140"/>
      <c r="EZ37" s="140"/>
      <c r="FA37" s="141">
        <f t="shared" si="43"/>
        <v>0</v>
      </c>
    </row>
    <row r="38" spans="3:157" x14ac:dyDescent="0.3">
      <c r="C38" s="138" t="s">
        <v>95</v>
      </c>
      <c r="D38" s="139"/>
      <c r="E38" s="140">
        <v>23</v>
      </c>
      <c r="F38" s="140"/>
      <c r="G38" s="140"/>
      <c r="H38" s="140"/>
      <c r="I38" s="140">
        <v>23</v>
      </c>
      <c r="J38" s="140"/>
      <c r="K38" s="140"/>
      <c r="L38" s="140"/>
      <c r="M38" s="140">
        <v>23</v>
      </c>
      <c r="N38" s="140"/>
      <c r="O38" s="140"/>
      <c r="P38" s="140"/>
      <c r="Q38" s="141">
        <f t="shared" si="33"/>
        <v>69</v>
      </c>
      <c r="R38" s="139"/>
      <c r="S38" s="140"/>
      <c r="T38" s="140"/>
      <c r="U38" s="140"/>
      <c r="V38" s="140"/>
      <c r="W38" s="140"/>
      <c r="X38" s="140"/>
      <c r="Y38" s="140"/>
      <c r="Z38" s="140"/>
      <c r="AA38" s="140"/>
      <c r="AB38" s="140"/>
      <c r="AC38" s="140"/>
      <c r="AD38" s="140"/>
      <c r="AE38" s="141">
        <f t="shared" si="34"/>
        <v>0</v>
      </c>
      <c r="AF38" s="139"/>
      <c r="AG38" s="140"/>
      <c r="AH38" s="140"/>
      <c r="AI38" s="140"/>
      <c r="AJ38" s="140"/>
      <c r="AK38" s="140"/>
      <c r="AL38" s="140"/>
      <c r="AM38" s="140"/>
      <c r="AN38" s="140"/>
      <c r="AO38" s="140"/>
      <c r="AP38" s="140"/>
      <c r="AQ38" s="140"/>
      <c r="AR38" s="140"/>
      <c r="AS38" s="141">
        <f t="shared" si="35"/>
        <v>0</v>
      </c>
      <c r="AT38" s="139"/>
      <c r="AU38" s="140"/>
      <c r="AV38" s="140"/>
      <c r="AW38" s="140"/>
      <c r="AX38" s="140"/>
      <c r="AY38" s="140"/>
      <c r="AZ38" s="140"/>
      <c r="BA38" s="140"/>
      <c r="BB38" s="140"/>
      <c r="BC38" s="140"/>
      <c r="BD38" s="140"/>
      <c r="BE38" s="140"/>
      <c r="BF38" s="140"/>
      <c r="BG38" s="141">
        <f t="shared" si="36"/>
        <v>0</v>
      </c>
      <c r="BH38" s="139"/>
      <c r="BI38" s="140"/>
      <c r="BJ38" s="140"/>
      <c r="BK38" s="140"/>
      <c r="BL38" s="140"/>
      <c r="BM38" s="140"/>
      <c r="BN38" s="140"/>
      <c r="BO38" s="140"/>
      <c r="BP38" s="140"/>
      <c r="BQ38" s="140"/>
      <c r="BR38" s="140"/>
      <c r="BS38" s="140"/>
      <c r="BT38" s="140"/>
      <c r="BU38" s="141">
        <f t="shared" si="37"/>
        <v>0</v>
      </c>
      <c r="BV38" s="139"/>
      <c r="BW38" s="140"/>
      <c r="BX38" s="140"/>
      <c r="BY38" s="140"/>
      <c r="BZ38" s="140"/>
      <c r="CA38" s="140"/>
      <c r="CB38" s="140"/>
      <c r="CC38" s="140"/>
      <c r="CD38" s="140"/>
      <c r="CE38" s="140"/>
      <c r="CF38" s="140"/>
      <c r="CG38" s="140"/>
      <c r="CH38" s="140"/>
      <c r="CI38" s="141">
        <f t="shared" si="38"/>
        <v>0</v>
      </c>
      <c r="CJ38" s="139"/>
      <c r="CK38" s="140"/>
      <c r="CL38" s="140"/>
      <c r="CM38" s="140"/>
      <c r="CN38" s="140"/>
      <c r="CO38" s="140"/>
      <c r="CP38" s="140"/>
      <c r="CQ38" s="140"/>
      <c r="CR38" s="140"/>
      <c r="CS38" s="140"/>
      <c r="CT38" s="140"/>
      <c r="CU38" s="140"/>
      <c r="CV38" s="140"/>
      <c r="CW38" s="141">
        <f t="shared" si="39"/>
        <v>0</v>
      </c>
      <c r="CX38" s="139"/>
      <c r="CY38" s="140"/>
      <c r="CZ38" s="140"/>
      <c r="DA38" s="140"/>
      <c r="DB38" s="140"/>
      <c r="DC38" s="140"/>
      <c r="DD38" s="140"/>
      <c r="DE38" s="140"/>
      <c r="DF38" s="140"/>
      <c r="DG38" s="140"/>
      <c r="DH38" s="140"/>
      <c r="DI38" s="140"/>
      <c r="DJ38" s="140"/>
      <c r="DK38" s="141">
        <f t="shared" si="40"/>
        <v>0</v>
      </c>
      <c r="DL38" s="139"/>
      <c r="DM38" s="140"/>
      <c r="DN38" s="140"/>
      <c r="DO38" s="140"/>
      <c r="DP38" s="140"/>
      <c r="DQ38" s="140"/>
      <c r="DR38" s="140"/>
      <c r="DS38" s="140"/>
      <c r="DT38" s="140"/>
      <c r="DU38" s="140"/>
      <c r="DV38" s="140"/>
      <c r="DW38" s="140"/>
      <c r="DX38" s="140"/>
      <c r="DY38" s="141">
        <f t="shared" si="41"/>
        <v>0</v>
      </c>
      <c r="DZ38" s="139"/>
      <c r="EA38" s="140"/>
      <c r="EB38" s="140"/>
      <c r="EC38" s="140"/>
      <c r="ED38" s="140"/>
      <c r="EE38" s="140"/>
      <c r="EF38" s="140"/>
      <c r="EG38" s="140"/>
      <c r="EH38" s="140"/>
      <c r="EI38" s="140"/>
      <c r="EJ38" s="140"/>
      <c r="EK38" s="140"/>
      <c r="EL38" s="140"/>
      <c r="EM38" s="141">
        <f t="shared" si="42"/>
        <v>0</v>
      </c>
      <c r="EN38" s="139"/>
      <c r="EO38" s="140"/>
      <c r="EP38" s="140"/>
      <c r="EQ38" s="140"/>
      <c r="ER38" s="140"/>
      <c r="ES38" s="140"/>
      <c r="ET38" s="140"/>
      <c r="EU38" s="140"/>
      <c r="EV38" s="140"/>
      <c r="EW38" s="140"/>
      <c r="EX38" s="140"/>
      <c r="EY38" s="140"/>
      <c r="EZ38" s="140"/>
      <c r="FA38" s="141">
        <f t="shared" si="43"/>
        <v>0</v>
      </c>
    </row>
    <row r="39" spans="3:157" x14ac:dyDescent="0.3">
      <c r="C39" s="138" t="s">
        <v>106</v>
      </c>
      <c r="D39" s="139"/>
      <c r="E39" s="140">
        <v>10</v>
      </c>
      <c r="F39" s="140">
        <v>49</v>
      </c>
      <c r="G39" s="140">
        <v>600</v>
      </c>
      <c r="H39" s="140">
        <v>132</v>
      </c>
      <c r="I39" s="140">
        <v>10</v>
      </c>
      <c r="J39" s="140">
        <v>49</v>
      </c>
      <c r="K39" s="140">
        <v>600</v>
      </c>
      <c r="L39" s="140">
        <v>132</v>
      </c>
      <c r="M39" s="140">
        <v>10</v>
      </c>
      <c r="N39" s="140">
        <v>49</v>
      </c>
      <c r="O39" s="140">
        <v>600</v>
      </c>
      <c r="P39" s="140">
        <v>132</v>
      </c>
      <c r="Q39" s="141">
        <f t="shared" si="33"/>
        <v>2373</v>
      </c>
      <c r="R39" s="139"/>
      <c r="S39" s="140"/>
      <c r="T39" s="140"/>
      <c r="U39" s="140"/>
      <c r="V39" s="140"/>
      <c r="W39" s="140"/>
      <c r="X39" s="140"/>
      <c r="Y39" s="140"/>
      <c r="Z39" s="140"/>
      <c r="AA39" s="140"/>
      <c r="AB39" s="140"/>
      <c r="AC39" s="140"/>
      <c r="AD39" s="140"/>
      <c r="AE39" s="141">
        <f t="shared" si="34"/>
        <v>0</v>
      </c>
      <c r="AF39" s="139"/>
      <c r="AG39" s="140"/>
      <c r="AH39" s="140"/>
      <c r="AI39" s="140"/>
      <c r="AJ39" s="140"/>
      <c r="AK39" s="140"/>
      <c r="AL39" s="140"/>
      <c r="AM39" s="140"/>
      <c r="AN39" s="140"/>
      <c r="AO39" s="140"/>
      <c r="AP39" s="140"/>
      <c r="AQ39" s="140"/>
      <c r="AR39" s="140"/>
      <c r="AS39" s="141">
        <f t="shared" si="35"/>
        <v>0</v>
      </c>
      <c r="AT39" s="139"/>
      <c r="AU39" s="140"/>
      <c r="AV39" s="140"/>
      <c r="AW39" s="140"/>
      <c r="AX39" s="140"/>
      <c r="AY39" s="140"/>
      <c r="AZ39" s="140"/>
      <c r="BA39" s="140"/>
      <c r="BB39" s="140"/>
      <c r="BC39" s="140"/>
      <c r="BD39" s="140"/>
      <c r="BE39" s="140"/>
      <c r="BF39" s="140"/>
      <c r="BG39" s="141">
        <f t="shared" si="36"/>
        <v>0</v>
      </c>
      <c r="BH39" s="139"/>
      <c r="BI39" s="140"/>
      <c r="BJ39" s="140"/>
      <c r="BK39" s="140"/>
      <c r="BL39" s="140"/>
      <c r="BM39" s="140"/>
      <c r="BN39" s="140"/>
      <c r="BO39" s="140"/>
      <c r="BP39" s="140"/>
      <c r="BQ39" s="140"/>
      <c r="BR39" s="140"/>
      <c r="BS39" s="140"/>
      <c r="BT39" s="140"/>
      <c r="BU39" s="141">
        <f t="shared" si="37"/>
        <v>0</v>
      </c>
      <c r="BV39" s="139"/>
      <c r="BW39" s="140"/>
      <c r="BX39" s="140"/>
      <c r="BY39" s="140"/>
      <c r="BZ39" s="140"/>
      <c r="CA39" s="140"/>
      <c r="CB39" s="140"/>
      <c r="CC39" s="140"/>
      <c r="CD39" s="140"/>
      <c r="CE39" s="140"/>
      <c r="CF39" s="140"/>
      <c r="CG39" s="140"/>
      <c r="CH39" s="140"/>
      <c r="CI39" s="141">
        <f t="shared" si="38"/>
        <v>0</v>
      </c>
      <c r="CJ39" s="139"/>
      <c r="CK39" s="140"/>
      <c r="CL39" s="140"/>
      <c r="CM39" s="140"/>
      <c r="CN39" s="140"/>
      <c r="CO39" s="140"/>
      <c r="CP39" s="140"/>
      <c r="CQ39" s="140"/>
      <c r="CR39" s="140"/>
      <c r="CS39" s="140"/>
      <c r="CT39" s="140"/>
      <c r="CU39" s="140"/>
      <c r="CV39" s="140"/>
      <c r="CW39" s="141">
        <f t="shared" si="39"/>
        <v>0</v>
      </c>
      <c r="CX39" s="139"/>
      <c r="CY39" s="140"/>
      <c r="CZ39" s="140"/>
      <c r="DA39" s="140"/>
      <c r="DB39" s="140"/>
      <c r="DC39" s="140"/>
      <c r="DD39" s="140"/>
      <c r="DE39" s="140"/>
      <c r="DF39" s="140"/>
      <c r="DG39" s="140"/>
      <c r="DH39" s="140"/>
      <c r="DI39" s="140"/>
      <c r="DJ39" s="140"/>
      <c r="DK39" s="141">
        <f t="shared" si="40"/>
        <v>0</v>
      </c>
      <c r="DL39" s="139"/>
      <c r="DM39" s="140"/>
      <c r="DN39" s="140"/>
      <c r="DO39" s="140"/>
      <c r="DP39" s="140"/>
      <c r="DQ39" s="140"/>
      <c r="DR39" s="140"/>
      <c r="DS39" s="140"/>
      <c r="DT39" s="140"/>
      <c r="DU39" s="140"/>
      <c r="DV39" s="140"/>
      <c r="DW39" s="140"/>
      <c r="DX39" s="140"/>
      <c r="DY39" s="141">
        <f t="shared" si="41"/>
        <v>0</v>
      </c>
      <c r="DZ39" s="139"/>
      <c r="EA39" s="140"/>
      <c r="EB39" s="140"/>
      <c r="EC39" s="140"/>
      <c r="ED39" s="140"/>
      <c r="EE39" s="140"/>
      <c r="EF39" s="140"/>
      <c r="EG39" s="140"/>
      <c r="EH39" s="140"/>
      <c r="EI39" s="140"/>
      <c r="EJ39" s="140"/>
      <c r="EK39" s="140"/>
      <c r="EL39" s="140"/>
      <c r="EM39" s="141">
        <f t="shared" si="42"/>
        <v>0</v>
      </c>
      <c r="EN39" s="139"/>
      <c r="EO39" s="140"/>
      <c r="EP39" s="140"/>
      <c r="EQ39" s="140"/>
      <c r="ER39" s="140"/>
      <c r="ES39" s="140"/>
      <c r="ET39" s="140"/>
      <c r="EU39" s="140"/>
      <c r="EV39" s="140"/>
      <c r="EW39" s="140"/>
      <c r="EX39" s="140"/>
      <c r="EY39" s="140"/>
      <c r="EZ39" s="140"/>
      <c r="FA39" s="141">
        <f t="shared" si="43"/>
        <v>0</v>
      </c>
    </row>
    <row r="40" spans="3:157" x14ac:dyDescent="0.3">
      <c r="C40" s="138" t="s">
        <v>107</v>
      </c>
      <c r="D40" s="139"/>
      <c r="E40" s="140">
        <v>100</v>
      </c>
      <c r="F40" s="140"/>
      <c r="G40" s="140"/>
      <c r="H40" s="140"/>
      <c r="I40" s="140">
        <v>100</v>
      </c>
      <c r="J40" s="140"/>
      <c r="K40" s="140"/>
      <c r="L40" s="140"/>
      <c r="M40" s="140">
        <v>100</v>
      </c>
      <c r="N40" s="140"/>
      <c r="O40" s="140"/>
      <c r="P40" s="140"/>
      <c r="Q40" s="141">
        <f t="shared" si="33"/>
        <v>300</v>
      </c>
      <c r="R40" s="139"/>
      <c r="S40" s="140"/>
      <c r="T40" s="140"/>
      <c r="U40" s="140"/>
      <c r="V40" s="140"/>
      <c r="W40" s="140"/>
      <c r="X40" s="140"/>
      <c r="Y40" s="140"/>
      <c r="Z40" s="140"/>
      <c r="AA40" s="140"/>
      <c r="AB40" s="140"/>
      <c r="AC40" s="140"/>
      <c r="AD40" s="140"/>
      <c r="AE40" s="141">
        <f t="shared" si="34"/>
        <v>0</v>
      </c>
      <c r="AF40" s="139"/>
      <c r="AG40" s="140"/>
      <c r="AH40" s="140"/>
      <c r="AI40" s="140"/>
      <c r="AJ40" s="140"/>
      <c r="AK40" s="140"/>
      <c r="AL40" s="140"/>
      <c r="AM40" s="140"/>
      <c r="AN40" s="140"/>
      <c r="AO40" s="140"/>
      <c r="AP40" s="140"/>
      <c r="AQ40" s="140"/>
      <c r="AR40" s="140"/>
      <c r="AS40" s="141">
        <f t="shared" si="35"/>
        <v>0</v>
      </c>
      <c r="AT40" s="139"/>
      <c r="AU40" s="140"/>
      <c r="AV40" s="140"/>
      <c r="AW40" s="140"/>
      <c r="AX40" s="140"/>
      <c r="AY40" s="140"/>
      <c r="AZ40" s="140"/>
      <c r="BA40" s="140"/>
      <c r="BB40" s="140"/>
      <c r="BC40" s="140"/>
      <c r="BD40" s="140"/>
      <c r="BE40" s="140"/>
      <c r="BF40" s="140"/>
      <c r="BG40" s="141">
        <f t="shared" si="36"/>
        <v>0</v>
      </c>
      <c r="BH40" s="139"/>
      <c r="BI40" s="140"/>
      <c r="BJ40" s="140"/>
      <c r="BK40" s="140"/>
      <c r="BL40" s="140"/>
      <c r="BM40" s="140"/>
      <c r="BN40" s="140"/>
      <c r="BO40" s="140"/>
      <c r="BP40" s="140"/>
      <c r="BQ40" s="140"/>
      <c r="BR40" s="140"/>
      <c r="BS40" s="140"/>
      <c r="BT40" s="140"/>
      <c r="BU40" s="141">
        <f t="shared" si="37"/>
        <v>0</v>
      </c>
      <c r="BV40" s="139"/>
      <c r="BW40" s="140"/>
      <c r="BX40" s="140"/>
      <c r="BY40" s="140"/>
      <c r="BZ40" s="140"/>
      <c r="CA40" s="140"/>
      <c r="CB40" s="140"/>
      <c r="CC40" s="140"/>
      <c r="CD40" s="140"/>
      <c r="CE40" s="140"/>
      <c r="CF40" s="140"/>
      <c r="CG40" s="140"/>
      <c r="CH40" s="140"/>
      <c r="CI40" s="141">
        <f t="shared" si="38"/>
        <v>0</v>
      </c>
      <c r="CJ40" s="139"/>
      <c r="CK40" s="140"/>
      <c r="CL40" s="140"/>
      <c r="CM40" s="140"/>
      <c r="CN40" s="140"/>
      <c r="CO40" s="140"/>
      <c r="CP40" s="140"/>
      <c r="CQ40" s="140"/>
      <c r="CR40" s="140"/>
      <c r="CS40" s="140"/>
      <c r="CT40" s="140"/>
      <c r="CU40" s="140"/>
      <c r="CV40" s="140"/>
      <c r="CW40" s="141">
        <f t="shared" si="39"/>
        <v>0</v>
      </c>
      <c r="CX40" s="139"/>
      <c r="CY40" s="140"/>
      <c r="CZ40" s="140"/>
      <c r="DA40" s="140"/>
      <c r="DB40" s="140"/>
      <c r="DC40" s="140"/>
      <c r="DD40" s="140"/>
      <c r="DE40" s="140"/>
      <c r="DF40" s="140"/>
      <c r="DG40" s="140"/>
      <c r="DH40" s="140"/>
      <c r="DI40" s="140"/>
      <c r="DJ40" s="140"/>
      <c r="DK40" s="141">
        <f t="shared" si="40"/>
        <v>0</v>
      </c>
      <c r="DL40" s="139"/>
      <c r="DM40" s="140"/>
      <c r="DN40" s="140"/>
      <c r="DO40" s="140"/>
      <c r="DP40" s="140"/>
      <c r="DQ40" s="140"/>
      <c r="DR40" s="140"/>
      <c r="DS40" s="140"/>
      <c r="DT40" s="140"/>
      <c r="DU40" s="140"/>
      <c r="DV40" s="140"/>
      <c r="DW40" s="140"/>
      <c r="DX40" s="140"/>
      <c r="DY40" s="141">
        <f t="shared" si="41"/>
        <v>0</v>
      </c>
      <c r="DZ40" s="139"/>
      <c r="EA40" s="140"/>
      <c r="EB40" s="140"/>
      <c r="EC40" s="140"/>
      <c r="ED40" s="140"/>
      <c r="EE40" s="140"/>
      <c r="EF40" s="140"/>
      <c r="EG40" s="140"/>
      <c r="EH40" s="140"/>
      <c r="EI40" s="140"/>
      <c r="EJ40" s="140"/>
      <c r="EK40" s="140"/>
      <c r="EL40" s="140"/>
      <c r="EM40" s="141">
        <f t="shared" si="42"/>
        <v>0</v>
      </c>
      <c r="EN40" s="139"/>
      <c r="EO40" s="140"/>
      <c r="EP40" s="140"/>
      <c r="EQ40" s="140"/>
      <c r="ER40" s="140"/>
      <c r="ES40" s="140"/>
      <c r="ET40" s="140"/>
      <c r="EU40" s="140"/>
      <c r="EV40" s="140"/>
      <c r="EW40" s="140"/>
      <c r="EX40" s="140"/>
      <c r="EY40" s="140"/>
      <c r="EZ40" s="140"/>
      <c r="FA40" s="141">
        <f t="shared" si="43"/>
        <v>0</v>
      </c>
    </row>
    <row r="41" spans="3:157" hidden="1" x14ac:dyDescent="0.3">
      <c r="C41" s="18" t="s">
        <v>108</v>
      </c>
      <c r="E41" s="19"/>
      <c r="F41" s="19"/>
      <c r="G41" s="19"/>
      <c r="H41" s="19"/>
      <c r="I41" s="19"/>
      <c r="J41" s="19"/>
      <c r="K41" s="19"/>
      <c r="L41" s="19"/>
      <c r="M41" s="19"/>
      <c r="N41" s="19"/>
      <c r="O41" s="19"/>
      <c r="P41" s="19"/>
      <c r="Q41" s="21">
        <f t="shared" si="33"/>
        <v>0</v>
      </c>
      <c r="S41" s="19"/>
      <c r="T41" s="19"/>
      <c r="U41" s="19"/>
      <c r="V41" s="19"/>
      <c r="W41" s="19"/>
      <c r="X41" s="19"/>
      <c r="Y41" s="19"/>
      <c r="Z41" s="19"/>
      <c r="AA41" s="19"/>
      <c r="AB41" s="19"/>
      <c r="AC41" s="19"/>
      <c r="AD41" s="19"/>
      <c r="AE41" s="21">
        <f t="shared" si="34"/>
        <v>0</v>
      </c>
      <c r="AG41" s="19"/>
      <c r="AH41" s="19"/>
      <c r="AI41" s="19"/>
      <c r="AJ41" s="19"/>
      <c r="AK41" s="19"/>
      <c r="AL41" s="19"/>
      <c r="AM41" s="19"/>
      <c r="AN41" s="19"/>
      <c r="AO41" s="19"/>
      <c r="AP41" s="19"/>
      <c r="AQ41" s="19"/>
      <c r="AR41" s="19"/>
      <c r="AS41" s="21">
        <f t="shared" si="35"/>
        <v>0</v>
      </c>
      <c r="AU41" s="19"/>
      <c r="AV41" s="19"/>
      <c r="AW41" s="19"/>
      <c r="AX41" s="19"/>
      <c r="AY41" s="19"/>
      <c r="AZ41" s="19"/>
      <c r="BA41" s="19"/>
      <c r="BB41" s="19"/>
      <c r="BC41" s="19"/>
      <c r="BD41" s="19"/>
      <c r="BE41" s="19"/>
      <c r="BF41" s="19"/>
      <c r="BG41" s="21">
        <f t="shared" si="36"/>
        <v>0</v>
      </c>
      <c r="BI41" s="19"/>
      <c r="BJ41" s="19"/>
      <c r="BK41" s="19"/>
      <c r="BL41" s="19"/>
      <c r="BM41" s="19"/>
      <c r="BN41" s="19"/>
      <c r="BO41" s="19"/>
      <c r="BP41" s="19"/>
      <c r="BQ41" s="19"/>
      <c r="BR41" s="19"/>
      <c r="BS41" s="19"/>
      <c r="BT41" s="19"/>
      <c r="BU41" s="21">
        <f t="shared" si="37"/>
        <v>0</v>
      </c>
      <c r="BW41" s="19"/>
      <c r="BX41" s="19"/>
      <c r="BY41" s="19"/>
      <c r="BZ41" s="19"/>
      <c r="CA41" s="19"/>
      <c r="CB41" s="19"/>
      <c r="CC41" s="19"/>
      <c r="CD41" s="19"/>
      <c r="CE41" s="19"/>
      <c r="CF41" s="19"/>
      <c r="CG41" s="19"/>
      <c r="CH41" s="19"/>
      <c r="CI41" s="21">
        <f t="shared" si="38"/>
        <v>0</v>
      </c>
      <c r="CK41" s="19"/>
      <c r="CL41" s="19"/>
      <c r="CM41" s="19"/>
      <c r="CN41" s="19"/>
      <c r="CO41" s="19"/>
      <c r="CP41" s="19"/>
      <c r="CQ41" s="19"/>
      <c r="CR41" s="19"/>
      <c r="CS41" s="19"/>
      <c r="CT41" s="19"/>
      <c r="CU41" s="19"/>
      <c r="CV41" s="19"/>
      <c r="CW41" s="21">
        <f t="shared" si="39"/>
        <v>0</v>
      </c>
      <c r="CY41" s="19"/>
      <c r="CZ41" s="19"/>
      <c r="DA41" s="19"/>
      <c r="DB41" s="19"/>
      <c r="DC41" s="19"/>
      <c r="DD41" s="19"/>
      <c r="DE41" s="19"/>
      <c r="DF41" s="19"/>
      <c r="DG41" s="19"/>
      <c r="DH41" s="19"/>
      <c r="DI41" s="19"/>
      <c r="DJ41" s="19"/>
      <c r="DK41" s="21">
        <f t="shared" si="40"/>
        <v>0</v>
      </c>
      <c r="DM41" s="19"/>
      <c r="DN41" s="19"/>
      <c r="DO41" s="19"/>
      <c r="DP41" s="19"/>
      <c r="DQ41" s="19"/>
      <c r="DR41" s="19"/>
      <c r="DS41" s="19"/>
      <c r="DT41" s="19"/>
      <c r="DU41" s="19"/>
      <c r="DV41" s="19"/>
      <c r="DW41" s="19"/>
      <c r="DX41" s="19"/>
      <c r="DY41" s="21">
        <f t="shared" si="41"/>
        <v>0</v>
      </c>
      <c r="EA41" s="19"/>
      <c r="EB41" s="19"/>
      <c r="EC41" s="19"/>
      <c r="ED41" s="19"/>
      <c r="EE41" s="19"/>
      <c r="EF41" s="19"/>
      <c r="EG41" s="19"/>
      <c r="EH41" s="19"/>
      <c r="EI41" s="19"/>
      <c r="EJ41" s="19"/>
      <c r="EK41" s="19"/>
      <c r="EL41" s="19"/>
      <c r="EM41" s="21">
        <f t="shared" si="42"/>
        <v>0</v>
      </c>
      <c r="EO41" s="19"/>
      <c r="EP41" s="19"/>
      <c r="EQ41" s="19"/>
      <c r="ER41" s="19"/>
      <c r="ES41" s="19"/>
      <c r="ET41" s="19"/>
      <c r="EU41" s="19"/>
      <c r="EV41" s="19"/>
      <c r="EW41" s="19"/>
      <c r="EX41" s="19"/>
      <c r="EY41" s="19"/>
      <c r="EZ41" s="19"/>
      <c r="FA41" s="21">
        <f t="shared" si="43"/>
        <v>0</v>
      </c>
    </row>
    <row r="42" spans="3:157" hidden="1" x14ac:dyDescent="0.3">
      <c r="C42" s="18" t="s">
        <v>108</v>
      </c>
      <c r="E42" s="19"/>
      <c r="F42" s="19"/>
      <c r="G42" s="19"/>
      <c r="H42" s="19"/>
      <c r="I42" s="19"/>
      <c r="J42" s="19"/>
      <c r="K42" s="19"/>
      <c r="L42" s="19"/>
      <c r="M42" s="19"/>
      <c r="N42" s="19"/>
      <c r="O42" s="19"/>
      <c r="P42" s="19"/>
      <c r="Q42" s="21">
        <f t="shared" si="33"/>
        <v>0</v>
      </c>
      <c r="S42" s="19"/>
      <c r="T42" s="19"/>
      <c r="U42" s="19"/>
      <c r="V42" s="19"/>
      <c r="W42" s="19"/>
      <c r="X42" s="19"/>
      <c r="Y42" s="19"/>
      <c r="Z42" s="19"/>
      <c r="AA42" s="19"/>
      <c r="AB42" s="19"/>
      <c r="AC42" s="19"/>
      <c r="AD42" s="19"/>
      <c r="AE42" s="21">
        <f t="shared" si="34"/>
        <v>0</v>
      </c>
      <c r="AG42" s="19"/>
      <c r="AH42" s="19"/>
      <c r="AI42" s="19"/>
      <c r="AJ42" s="19"/>
      <c r="AK42" s="19"/>
      <c r="AL42" s="19"/>
      <c r="AM42" s="19"/>
      <c r="AN42" s="19"/>
      <c r="AO42" s="19"/>
      <c r="AP42" s="19"/>
      <c r="AQ42" s="19"/>
      <c r="AR42" s="19"/>
      <c r="AS42" s="21">
        <f t="shared" si="35"/>
        <v>0</v>
      </c>
      <c r="AU42" s="19"/>
      <c r="AV42" s="19"/>
      <c r="AW42" s="19"/>
      <c r="AX42" s="19"/>
      <c r="AY42" s="19"/>
      <c r="AZ42" s="19"/>
      <c r="BA42" s="19"/>
      <c r="BB42" s="19"/>
      <c r="BC42" s="19"/>
      <c r="BD42" s="19"/>
      <c r="BE42" s="19"/>
      <c r="BF42" s="19"/>
      <c r="BG42" s="21">
        <f t="shared" si="36"/>
        <v>0</v>
      </c>
      <c r="BI42" s="19"/>
      <c r="BJ42" s="19"/>
      <c r="BK42" s="19"/>
      <c r="BL42" s="19"/>
      <c r="BM42" s="19"/>
      <c r="BN42" s="19"/>
      <c r="BO42" s="19"/>
      <c r="BP42" s="19"/>
      <c r="BQ42" s="19"/>
      <c r="BR42" s="19"/>
      <c r="BS42" s="19"/>
      <c r="BT42" s="19"/>
      <c r="BU42" s="21">
        <f t="shared" si="37"/>
        <v>0</v>
      </c>
      <c r="BW42" s="19"/>
      <c r="BX42" s="19"/>
      <c r="BY42" s="19"/>
      <c r="BZ42" s="19"/>
      <c r="CA42" s="19"/>
      <c r="CB42" s="19"/>
      <c r="CC42" s="19"/>
      <c r="CD42" s="19"/>
      <c r="CE42" s="19"/>
      <c r="CF42" s="19"/>
      <c r="CG42" s="19"/>
      <c r="CH42" s="19"/>
      <c r="CI42" s="21">
        <f t="shared" si="38"/>
        <v>0</v>
      </c>
      <c r="CK42" s="19"/>
      <c r="CL42" s="19"/>
      <c r="CM42" s="19"/>
      <c r="CN42" s="19"/>
      <c r="CO42" s="19"/>
      <c r="CP42" s="19"/>
      <c r="CQ42" s="19"/>
      <c r="CR42" s="19"/>
      <c r="CS42" s="19"/>
      <c r="CT42" s="19"/>
      <c r="CU42" s="19"/>
      <c r="CV42" s="19"/>
      <c r="CW42" s="21">
        <f t="shared" si="39"/>
        <v>0</v>
      </c>
      <c r="CY42" s="19"/>
      <c r="CZ42" s="19"/>
      <c r="DA42" s="19"/>
      <c r="DB42" s="19"/>
      <c r="DC42" s="19"/>
      <c r="DD42" s="19"/>
      <c r="DE42" s="19"/>
      <c r="DF42" s="19"/>
      <c r="DG42" s="19"/>
      <c r="DH42" s="19"/>
      <c r="DI42" s="19"/>
      <c r="DJ42" s="19"/>
      <c r="DK42" s="21">
        <f t="shared" si="40"/>
        <v>0</v>
      </c>
      <c r="DM42" s="19"/>
      <c r="DN42" s="19"/>
      <c r="DO42" s="19"/>
      <c r="DP42" s="19"/>
      <c r="DQ42" s="19"/>
      <c r="DR42" s="19"/>
      <c r="DS42" s="19"/>
      <c r="DT42" s="19"/>
      <c r="DU42" s="19"/>
      <c r="DV42" s="19"/>
      <c r="DW42" s="19"/>
      <c r="DX42" s="19"/>
      <c r="DY42" s="21">
        <f t="shared" si="41"/>
        <v>0</v>
      </c>
      <c r="EA42" s="19"/>
      <c r="EB42" s="19"/>
      <c r="EC42" s="19"/>
      <c r="ED42" s="19"/>
      <c r="EE42" s="19"/>
      <c r="EF42" s="19"/>
      <c r="EG42" s="19"/>
      <c r="EH42" s="19"/>
      <c r="EI42" s="19"/>
      <c r="EJ42" s="19"/>
      <c r="EK42" s="19"/>
      <c r="EL42" s="19"/>
      <c r="EM42" s="21">
        <f t="shared" si="42"/>
        <v>0</v>
      </c>
      <c r="EO42" s="19"/>
      <c r="EP42" s="19"/>
      <c r="EQ42" s="19"/>
      <c r="ER42" s="19"/>
      <c r="ES42" s="19"/>
      <c r="ET42" s="19"/>
      <c r="EU42" s="19"/>
      <c r="EV42" s="19"/>
      <c r="EW42" s="19"/>
      <c r="EX42" s="19"/>
      <c r="EY42" s="19"/>
      <c r="EZ42" s="19"/>
      <c r="FA42" s="21">
        <f t="shared" si="43"/>
        <v>0</v>
      </c>
    </row>
    <row r="43" spans="3:157" hidden="1" x14ac:dyDescent="0.3">
      <c r="C43" s="18" t="s">
        <v>108</v>
      </c>
      <c r="E43" s="19"/>
      <c r="F43" s="19"/>
      <c r="G43" s="19"/>
      <c r="H43" s="19"/>
      <c r="I43" s="19"/>
      <c r="J43" s="19"/>
      <c r="K43" s="19"/>
      <c r="L43" s="19"/>
      <c r="M43" s="19"/>
      <c r="N43" s="19"/>
      <c r="O43" s="19"/>
      <c r="P43" s="19"/>
      <c r="Q43" s="21">
        <f t="shared" si="33"/>
        <v>0</v>
      </c>
      <c r="S43" s="19"/>
      <c r="T43" s="19"/>
      <c r="U43" s="19"/>
      <c r="V43" s="19"/>
      <c r="W43" s="19"/>
      <c r="X43" s="19"/>
      <c r="Y43" s="19"/>
      <c r="Z43" s="19"/>
      <c r="AA43" s="19"/>
      <c r="AB43" s="19"/>
      <c r="AC43" s="19"/>
      <c r="AD43" s="19"/>
      <c r="AE43" s="21">
        <f t="shared" si="34"/>
        <v>0</v>
      </c>
      <c r="AG43" s="19"/>
      <c r="AH43" s="19"/>
      <c r="AI43" s="19"/>
      <c r="AJ43" s="19"/>
      <c r="AK43" s="19"/>
      <c r="AL43" s="19"/>
      <c r="AM43" s="19"/>
      <c r="AN43" s="19"/>
      <c r="AO43" s="19"/>
      <c r="AP43" s="19"/>
      <c r="AQ43" s="19"/>
      <c r="AR43" s="19"/>
      <c r="AS43" s="21">
        <f t="shared" si="35"/>
        <v>0</v>
      </c>
      <c r="AU43" s="19"/>
      <c r="AV43" s="19"/>
      <c r="AW43" s="19"/>
      <c r="AX43" s="19"/>
      <c r="AY43" s="19"/>
      <c r="AZ43" s="19"/>
      <c r="BA43" s="19"/>
      <c r="BB43" s="19"/>
      <c r="BC43" s="19"/>
      <c r="BD43" s="19"/>
      <c r="BE43" s="19"/>
      <c r="BF43" s="19"/>
      <c r="BG43" s="21">
        <f t="shared" si="36"/>
        <v>0</v>
      </c>
      <c r="BI43" s="19"/>
      <c r="BJ43" s="19"/>
      <c r="BK43" s="19"/>
      <c r="BL43" s="19"/>
      <c r="BM43" s="19"/>
      <c r="BN43" s="19"/>
      <c r="BO43" s="19"/>
      <c r="BP43" s="19"/>
      <c r="BQ43" s="19"/>
      <c r="BR43" s="19"/>
      <c r="BS43" s="19"/>
      <c r="BT43" s="19"/>
      <c r="BU43" s="21">
        <f t="shared" si="37"/>
        <v>0</v>
      </c>
      <c r="BW43" s="19"/>
      <c r="BX43" s="19"/>
      <c r="BY43" s="19"/>
      <c r="BZ43" s="19"/>
      <c r="CA43" s="19"/>
      <c r="CB43" s="19"/>
      <c r="CC43" s="19"/>
      <c r="CD43" s="19"/>
      <c r="CE43" s="19"/>
      <c r="CF43" s="19"/>
      <c r="CG43" s="19"/>
      <c r="CH43" s="19"/>
      <c r="CI43" s="21">
        <f t="shared" si="38"/>
        <v>0</v>
      </c>
      <c r="CK43" s="19"/>
      <c r="CL43" s="19"/>
      <c r="CM43" s="19"/>
      <c r="CN43" s="19"/>
      <c r="CO43" s="19"/>
      <c r="CP43" s="19"/>
      <c r="CQ43" s="19"/>
      <c r="CR43" s="19"/>
      <c r="CS43" s="19"/>
      <c r="CT43" s="19"/>
      <c r="CU43" s="19"/>
      <c r="CV43" s="19"/>
      <c r="CW43" s="21">
        <f t="shared" si="39"/>
        <v>0</v>
      </c>
      <c r="CY43" s="19"/>
      <c r="CZ43" s="19"/>
      <c r="DA43" s="19"/>
      <c r="DB43" s="19"/>
      <c r="DC43" s="19"/>
      <c r="DD43" s="19"/>
      <c r="DE43" s="19"/>
      <c r="DF43" s="19"/>
      <c r="DG43" s="19"/>
      <c r="DH43" s="19"/>
      <c r="DI43" s="19"/>
      <c r="DJ43" s="19"/>
      <c r="DK43" s="21">
        <f t="shared" si="40"/>
        <v>0</v>
      </c>
      <c r="DM43" s="19"/>
      <c r="DN43" s="19"/>
      <c r="DO43" s="19"/>
      <c r="DP43" s="19"/>
      <c r="DQ43" s="19"/>
      <c r="DR43" s="19"/>
      <c r="DS43" s="19"/>
      <c r="DT43" s="19"/>
      <c r="DU43" s="19"/>
      <c r="DV43" s="19"/>
      <c r="DW43" s="19"/>
      <c r="DX43" s="19"/>
      <c r="DY43" s="21">
        <f t="shared" si="41"/>
        <v>0</v>
      </c>
      <c r="EA43" s="19"/>
      <c r="EB43" s="19"/>
      <c r="EC43" s="19"/>
      <c r="ED43" s="19"/>
      <c r="EE43" s="19"/>
      <c r="EF43" s="19"/>
      <c r="EG43" s="19"/>
      <c r="EH43" s="19"/>
      <c r="EI43" s="19"/>
      <c r="EJ43" s="19"/>
      <c r="EK43" s="19"/>
      <c r="EL43" s="19"/>
      <c r="EM43" s="21">
        <f t="shared" si="42"/>
        <v>0</v>
      </c>
      <c r="EO43" s="19"/>
      <c r="EP43" s="19"/>
      <c r="EQ43" s="19"/>
      <c r="ER43" s="19"/>
      <c r="ES43" s="19"/>
      <c r="ET43" s="19"/>
      <c r="EU43" s="19"/>
      <c r="EV43" s="19"/>
      <c r="EW43" s="19"/>
      <c r="EX43" s="19"/>
      <c r="EY43" s="19"/>
      <c r="EZ43" s="19"/>
      <c r="FA43" s="21">
        <f t="shared" si="43"/>
        <v>0</v>
      </c>
    </row>
    <row r="44" spans="3:157" hidden="1" x14ac:dyDescent="0.3">
      <c r="C44" s="18" t="s">
        <v>108</v>
      </c>
      <c r="E44" s="19"/>
      <c r="F44" s="19"/>
      <c r="G44" s="19"/>
      <c r="H44" s="19"/>
      <c r="I44" s="19"/>
      <c r="J44" s="19"/>
      <c r="K44" s="19"/>
      <c r="L44" s="19"/>
      <c r="M44" s="19"/>
      <c r="N44" s="19"/>
      <c r="O44" s="19"/>
      <c r="P44" s="19"/>
      <c r="Q44" s="21">
        <f t="shared" si="33"/>
        <v>0</v>
      </c>
      <c r="S44" s="19"/>
      <c r="T44" s="19"/>
      <c r="U44" s="19"/>
      <c r="V44" s="19"/>
      <c r="W44" s="19"/>
      <c r="X44" s="19"/>
      <c r="Y44" s="19"/>
      <c r="Z44" s="19"/>
      <c r="AA44" s="19"/>
      <c r="AB44" s="19"/>
      <c r="AC44" s="19"/>
      <c r="AD44" s="19"/>
      <c r="AE44" s="21">
        <f t="shared" si="34"/>
        <v>0</v>
      </c>
      <c r="AG44" s="19"/>
      <c r="AH44" s="19"/>
      <c r="AI44" s="19"/>
      <c r="AJ44" s="19"/>
      <c r="AK44" s="19"/>
      <c r="AL44" s="19"/>
      <c r="AM44" s="19"/>
      <c r="AN44" s="19"/>
      <c r="AO44" s="19"/>
      <c r="AP44" s="19"/>
      <c r="AQ44" s="19"/>
      <c r="AR44" s="19"/>
      <c r="AS44" s="21">
        <f t="shared" si="35"/>
        <v>0</v>
      </c>
      <c r="AU44" s="19"/>
      <c r="AV44" s="19"/>
      <c r="AW44" s="19"/>
      <c r="AX44" s="19"/>
      <c r="AY44" s="19"/>
      <c r="AZ44" s="19"/>
      <c r="BA44" s="19"/>
      <c r="BB44" s="19"/>
      <c r="BC44" s="19"/>
      <c r="BD44" s="19"/>
      <c r="BE44" s="19"/>
      <c r="BF44" s="19"/>
      <c r="BG44" s="21">
        <f t="shared" si="36"/>
        <v>0</v>
      </c>
      <c r="BI44" s="19"/>
      <c r="BJ44" s="19"/>
      <c r="BK44" s="19"/>
      <c r="BL44" s="19"/>
      <c r="BM44" s="19"/>
      <c r="BN44" s="19"/>
      <c r="BO44" s="19"/>
      <c r="BP44" s="19"/>
      <c r="BQ44" s="19"/>
      <c r="BR44" s="19"/>
      <c r="BS44" s="19"/>
      <c r="BT44" s="19"/>
      <c r="BU44" s="21">
        <f t="shared" si="37"/>
        <v>0</v>
      </c>
      <c r="BW44" s="19"/>
      <c r="BX44" s="19"/>
      <c r="BY44" s="19"/>
      <c r="BZ44" s="19"/>
      <c r="CA44" s="19"/>
      <c r="CB44" s="19"/>
      <c r="CC44" s="19"/>
      <c r="CD44" s="19"/>
      <c r="CE44" s="19"/>
      <c r="CF44" s="19"/>
      <c r="CG44" s="19"/>
      <c r="CH44" s="19"/>
      <c r="CI44" s="21">
        <f t="shared" si="38"/>
        <v>0</v>
      </c>
      <c r="CK44" s="19"/>
      <c r="CL44" s="19"/>
      <c r="CM44" s="19"/>
      <c r="CN44" s="19"/>
      <c r="CO44" s="19"/>
      <c r="CP44" s="19"/>
      <c r="CQ44" s="19"/>
      <c r="CR44" s="19"/>
      <c r="CS44" s="19"/>
      <c r="CT44" s="19"/>
      <c r="CU44" s="19"/>
      <c r="CV44" s="19"/>
      <c r="CW44" s="21">
        <f t="shared" si="39"/>
        <v>0</v>
      </c>
      <c r="CY44" s="19"/>
      <c r="CZ44" s="19"/>
      <c r="DA44" s="19"/>
      <c r="DB44" s="19"/>
      <c r="DC44" s="19"/>
      <c r="DD44" s="19"/>
      <c r="DE44" s="19"/>
      <c r="DF44" s="19"/>
      <c r="DG44" s="19"/>
      <c r="DH44" s="19"/>
      <c r="DI44" s="19"/>
      <c r="DJ44" s="19"/>
      <c r="DK44" s="21">
        <f t="shared" si="40"/>
        <v>0</v>
      </c>
      <c r="DM44" s="19"/>
      <c r="DN44" s="19"/>
      <c r="DO44" s="19"/>
      <c r="DP44" s="19"/>
      <c r="DQ44" s="19"/>
      <c r="DR44" s="19"/>
      <c r="DS44" s="19"/>
      <c r="DT44" s="19"/>
      <c r="DU44" s="19"/>
      <c r="DV44" s="19"/>
      <c r="DW44" s="19"/>
      <c r="DX44" s="19"/>
      <c r="DY44" s="21">
        <f t="shared" si="41"/>
        <v>0</v>
      </c>
      <c r="EA44" s="19"/>
      <c r="EB44" s="19"/>
      <c r="EC44" s="19"/>
      <c r="ED44" s="19"/>
      <c r="EE44" s="19"/>
      <c r="EF44" s="19"/>
      <c r="EG44" s="19"/>
      <c r="EH44" s="19"/>
      <c r="EI44" s="19"/>
      <c r="EJ44" s="19"/>
      <c r="EK44" s="19"/>
      <c r="EL44" s="19"/>
      <c r="EM44" s="21">
        <f t="shared" si="42"/>
        <v>0</v>
      </c>
      <c r="EO44" s="19"/>
      <c r="EP44" s="19"/>
      <c r="EQ44" s="19"/>
      <c r="ER44" s="19"/>
      <c r="ES44" s="19"/>
      <c r="ET44" s="19"/>
      <c r="EU44" s="19"/>
      <c r="EV44" s="19"/>
      <c r="EW44" s="19"/>
      <c r="EX44" s="19"/>
      <c r="EY44" s="19"/>
      <c r="EZ44" s="19"/>
      <c r="FA44" s="21">
        <f t="shared" si="43"/>
        <v>0</v>
      </c>
    </row>
    <row r="45" spans="3:157" hidden="1" x14ac:dyDescent="0.3">
      <c r="C45" s="18" t="s">
        <v>108</v>
      </c>
      <c r="E45" s="19"/>
      <c r="F45" s="19"/>
      <c r="G45" s="19"/>
      <c r="H45" s="19"/>
      <c r="I45" s="19"/>
      <c r="J45" s="19"/>
      <c r="K45" s="19"/>
      <c r="L45" s="19"/>
      <c r="M45" s="19"/>
      <c r="N45" s="19"/>
      <c r="O45" s="19"/>
      <c r="P45" s="19"/>
      <c r="Q45" s="21">
        <f t="shared" si="33"/>
        <v>0</v>
      </c>
      <c r="S45" s="19"/>
      <c r="T45" s="19"/>
      <c r="U45" s="19"/>
      <c r="V45" s="19"/>
      <c r="W45" s="19"/>
      <c r="X45" s="19"/>
      <c r="Y45" s="19"/>
      <c r="Z45" s="19"/>
      <c r="AA45" s="19"/>
      <c r="AB45" s="19"/>
      <c r="AC45" s="19"/>
      <c r="AD45" s="19"/>
      <c r="AE45" s="21">
        <f t="shared" si="34"/>
        <v>0</v>
      </c>
      <c r="AG45" s="19"/>
      <c r="AH45" s="19"/>
      <c r="AI45" s="19"/>
      <c r="AJ45" s="19"/>
      <c r="AK45" s="19"/>
      <c r="AL45" s="19"/>
      <c r="AM45" s="19"/>
      <c r="AN45" s="19"/>
      <c r="AO45" s="19"/>
      <c r="AP45" s="19"/>
      <c r="AQ45" s="19"/>
      <c r="AR45" s="19"/>
      <c r="AS45" s="21">
        <f t="shared" si="35"/>
        <v>0</v>
      </c>
      <c r="AU45" s="19"/>
      <c r="AV45" s="19"/>
      <c r="AW45" s="19"/>
      <c r="AX45" s="19"/>
      <c r="AY45" s="19"/>
      <c r="AZ45" s="19"/>
      <c r="BA45" s="19"/>
      <c r="BB45" s="19"/>
      <c r="BC45" s="19"/>
      <c r="BD45" s="19"/>
      <c r="BE45" s="19"/>
      <c r="BF45" s="19"/>
      <c r="BG45" s="21">
        <f t="shared" si="36"/>
        <v>0</v>
      </c>
      <c r="BI45" s="19"/>
      <c r="BJ45" s="19"/>
      <c r="BK45" s="19"/>
      <c r="BL45" s="19"/>
      <c r="BM45" s="19"/>
      <c r="BN45" s="19"/>
      <c r="BO45" s="19"/>
      <c r="BP45" s="19"/>
      <c r="BQ45" s="19"/>
      <c r="BR45" s="19"/>
      <c r="BS45" s="19"/>
      <c r="BT45" s="19"/>
      <c r="BU45" s="21">
        <f t="shared" si="37"/>
        <v>0</v>
      </c>
      <c r="BW45" s="19"/>
      <c r="BX45" s="19"/>
      <c r="BY45" s="19"/>
      <c r="BZ45" s="19"/>
      <c r="CA45" s="19"/>
      <c r="CB45" s="19"/>
      <c r="CC45" s="19"/>
      <c r="CD45" s="19"/>
      <c r="CE45" s="19"/>
      <c r="CF45" s="19"/>
      <c r="CG45" s="19"/>
      <c r="CH45" s="19"/>
      <c r="CI45" s="21">
        <f t="shared" si="38"/>
        <v>0</v>
      </c>
      <c r="CK45" s="19"/>
      <c r="CL45" s="19"/>
      <c r="CM45" s="19"/>
      <c r="CN45" s="19"/>
      <c r="CO45" s="19"/>
      <c r="CP45" s="19"/>
      <c r="CQ45" s="19"/>
      <c r="CR45" s="19"/>
      <c r="CS45" s="19"/>
      <c r="CT45" s="19"/>
      <c r="CU45" s="19"/>
      <c r="CV45" s="19"/>
      <c r="CW45" s="21">
        <f t="shared" si="39"/>
        <v>0</v>
      </c>
      <c r="CY45" s="19"/>
      <c r="CZ45" s="19"/>
      <c r="DA45" s="19"/>
      <c r="DB45" s="19"/>
      <c r="DC45" s="19"/>
      <c r="DD45" s="19"/>
      <c r="DE45" s="19"/>
      <c r="DF45" s="19"/>
      <c r="DG45" s="19"/>
      <c r="DH45" s="19"/>
      <c r="DI45" s="19"/>
      <c r="DJ45" s="19"/>
      <c r="DK45" s="21">
        <f t="shared" si="40"/>
        <v>0</v>
      </c>
      <c r="DM45" s="19"/>
      <c r="DN45" s="19"/>
      <c r="DO45" s="19"/>
      <c r="DP45" s="19"/>
      <c r="DQ45" s="19"/>
      <c r="DR45" s="19"/>
      <c r="DS45" s="19"/>
      <c r="DT45" s="19"/>
      <c r="DU45" s="19"/>
      <c r="DV45" s="19"/>
      <c r="DW45" s="19"/>
      <c r="DX45" s="19"/>
      <c r="DY45" s="21">
        <f t="shared" si="41"/>
        <v>0</v>
      </c>
      <c r="EA45" s="19"/>
      <c r="EB45" s="19"/>
      <c r="EC45" s="19"/>
      <c r="ED45" s="19"/>
      <c r="EE45" s="19"/>
      <c r="EF45" s="19"/>
      <c r="EG45" s="19"/>
      <c r="EH45" s="19"/>
      <c r="EI45" s="19"/>
      <c r="EJ45" s="19"/>
      <c r="EK45" s="19"/>
      <c r="EL45" s="19"/>
      <c r="EM45" s="21">
        <f t="shared" si="42"/>
        <v>0</v>
      </c>
      <c r="EO45" s="19"/>
      <c r="EP45" s="19"/>
      <c r="EQ45" s="19"/>
      <c r="ER45" s="19"/>
      <c r="ES45" s="19"/>
      <c r="ET45" s="19"/>
      <c r="EU45" s="19"/>
      <c r="EV45" s="19"/>
      <c r="EW45" s="19"/>
      <c r="EX45" s="19"/>
      <c r="EY45" s="19"/>
      <c r="EZ45" s="19"/>
      <c r="FA45" s="21">
        <f t="shared" si="43"/>
        <v>0</v>
      </c>
    </row>
    <row r="46" spans="3:157" x14ac:dyDescent="0.3">
      <c r="C46" s="17" t="s">
        <v>54</v>
      </c>
      <c r="E46" s="20">
        <f t="array" aca="1" ref="E46" ca="1">SUM(INDIRECT(ADDRESS(variable_costs_min_row,COLUMN()) &amp; ":" &amp; ADDRESS(variable_costs_max_row, COLUMN())))</f>
        <v>381</v>
      </c>
      <c r="F46" s="20">
        <f t="array" aca="1" ref="F46" ca="1">SUM(INDIRECT(ADDRESS(variable_costs_min_row,COLUMN()) &amp; ":" &amp; ADDRESS(variable_costs_max_row, COLUMN())))</f>
        <v>122</v>
      </c>
      <c r="G46" s="20">
        <f t="array" aca="1" ref="G46" ca="1">SUM(INDIRECT(ADDRESS(variable_costs_min_row,COLUMN()) &amp; ":" &amp; ADDRESS(variable_costs_max_row, COLUMN())))</f>
        <v>734</v>
      </c>
      <c r="H46" s="20">
        <f t="array" aca="1" ref="H46" ca="1">SUM(INDIRECT(ADDRESS(variable_costs_min_row,COLUMN()) &amp; ":" &amp; ADDRESS(variable_costs_max_row, COLUMN())))</f>
        <v>154</v>
      </c>
      <c r="I46" s="20">
        <f t="array" aca="1" ref="I46" ca="1">SUM(INDIRECT(ADDRESS(variable_costs_min_row,COLUMN()) &amp; ":" &amp; ADDRESS(variable_costs_max_row, COLUMN())))</f>
        <v>381</v>
      </c>
      <c r="J46" s="20">
        <f t="array" aca="1" ref="J46" ca="1">SUM(INDIRECT(ADDRESS(variable_costs_min_row,COLUMN()) &amp; ":" &amp; ADDRESS(variable_costs_max_row, COLUMN())))</f>
        <v>122</v>
      </c>
      <c r="K46" s="20">
        <f t="array" aca="1" ref="K46" ca="1">SUM(INDIRECT(ADDRESS(variable_costs_min_row,COLUMN()) &amp; ":" &amp; ADDRESS(variable_costs_max_row, COLUMN())))</f>
        <v>734</v>
      </c>
      <c r="L46" s="20">
        <f t="array" aca="1" ref="L46" ca="1">SUM(INDIRECT(ADDRESS(variable_costs_min_row,COLUMN()) &amp; ":" &amp; ADDRESS(variable_costs_max_row, COLUMN())))</f>
        <v>154</v>
      </c>
      <c r="M46" s="20">
        <f t="array" aca="1" ref="M46" ca="1">SUM(INDIRECT(ADDRESS(variable_costs_min_row,COLUMN()) &amp; ":" &amp; ADDRESS(variable_costs_max_row, COLUMN())))</f>
        <v>381</v>
      </c>
      <c r="N46" s="20">
        <f t="array" aca="1" ref="N46" ca="1">SUM(INDIRECT(ADDRESS(variable_costs_min_row,COLUMN()) &amp; ":" &amp; ADDRESS(variable_costs_max_row, COLUMN())))</f>
        <v>122</v>
      </c>
      <c r="O46" s="20">
        <f t="array" aca="1" ref="O46" ca="1">SUM(INDIRECT(ADDRESS(variable_costs_min_row,COLUMN()) &amp; ":" &amp; ADDRESS(variable_costs_max_row, COLUMN())))</f>
        <v>734</v>
      </c>
      <c r="P46" s="20">
        <f t="array" aca="1" ref="P46" ca="1">SUM(INDIRECT(ADDRESS(variable_costs_min_row,COLUMN()) &amp; ":" &amp; ADDRESS(variable_costs_max_row, COLUMN())))</f>
        <v>154</v>
      </c>
      <c r="Q46" s="20">
        <f t="array" aca="1" ref="Q46" ca="1">SUM(INDIRECT(ADDRESS(variable_costs_min_row,COLUMN()) &amp; ":" &amp; ADDRESS(variable_costs_max_row, COLUMN())))</f>
        <v>4173</v>
      </c>
      <c r="S46" s="20">
        <f t="array" aca="1" ref="S46" ca="1">SUM(INDIRECT(ADDRESS(variable_costs_min_row,COLUMN()) &amp; ":" &amp; ADDRESS(variable_costs_max_row, COLUMN())))</f>
        <v>0</v>
      </c>
      <c r="T46" s="20">
        <f t="array" aca="1" ref="T46" ca="1">SUM(INDIRECT(ADDRESS(variable_costs_min_row,COLUMN()) &amp; ":" &amp; ADDRESS(variable_costs_max_row, COLUMN())))</f>
        <v>0</v>
      </c>
      <c r="U46" s="20">
        <f t="array" aca="1" ref="U46" ca="1">SUM(INDIRECT(ADDRESS(variable_costs_min_row,COLUMN()) &amp; ":" &amp; ADDRESS(variable_costs_max_row, COLUMN())))</f>
        <v>0</v>
      </c>
      <c r="V46" s="20">
        <f t="array" aca="1" ref="V46" ca="1">SUM(INDIRECT(ADDRESS(variable_costs_min_row,COLUMN()) &amp; ":" &amp; ADDRESS(variable_costs_max_row, COLUMN())))</f>
        <v>0</v>
      </c>
      <c r="W46" s="20">
        <f t="array" aca="1" ref="W46" ca="1">SUM(INDIRECT(ADDRESS(variable_costs_min_row,COLUMN()) &amp; ":" &amp; ADDRESS(variable_costs_max_row, COLUMN())))</f>
        <v>0</v>
      </c>
      <c r="X46" s="20">
        <f t="array" aca="1" ref="X46" ca="1">SUM(INDIRECT(ADDRESS(variable_costs_min_row,COLUMN()) &amp; ":" &amp; ADDRESS(variable_costs_max_row, COLUMN())))</f>
        <v>0</v>
      </c>
      <c r="Y46" s="20">
        <f t="array" aca="1" ref="Y46" ca="1">SUM(INDIRECT(ADDRESS(variable_costs_min_row,COLUMN()) &amp; ":" &amp; ADDRESS(variable_costs_max_row, COLUMN())))</f>
        <v>0</v>
      </c>
      <c r="Z46" s="20">
        <f t="array" aca="1" ref="Z46" ca="1">SUM(INDIRECT(ADDRESS(variable_costs_min_row,COLUMN()) &amp; ":" &amp; ADDRESS(variable_costs_max_row, COLUMN())))</f>
        <v>0</v>
      </c>
      <c r="AA46" s="20">
        <f t="array" aca="1" ref="AA46" ca="1">SUM(INDIRECT(ADDRESS(variable_costs_min_row,COLUMN()) &amp; ":" &amp; ADDRESS(variable_costs_max_row, COLUMN())))</f>
        <v>0</v>
      </c>
      <c r="AB46" s="20">
        <f t="array" aca="1" ref="AB46" ca="1">SUM(INDIRECT(ADDRESS(variable_costs_min_row,COLUMN()) &amp; ":" &amp; ADDRESS(variable_costs_max_row, COLUMN())))</f>
        <v>0</v>
      </c>
      <c r="AC46" s="20">
        <f t="array" aca="1" ref="AC46" ca="1">SUM(INDIRECT(ADDRESS(variable_costs_min_row,COLUMN()) &amp; ":" &amp; ADDRESS(variable_costs_max_row, COLUMN())))</f>
        <v>0</v>
      </c>
      <c r="AD46" s="20">
        <f t="array" aca="1" ref="AD46" ca="1">SUM(INDIRECT(ADDRESS(variable_costs_min_row,COLUMN()) &amp; ":" &amp; ADDRESS(variable_costs_max_row, COLUMN())))</f>
        <v>0</v>
      </c>
      <c r="AE46" s="20">
        <f t="array" aca="1" ref="AE46" ca="1">SUM(INDIRECT(ADDRESS(variable_costs_min_row,COLUMN()) &amp; ":" &amp; ADDRESS(variable_costs_max_row, COLUMN())))</f>
        <v>0</v>
      </c>
      <c r="AG46" s="20">
        <f t="array" aca="1" ref="AG46" ca="1">SUM(INDIRECT(ADDRESS(variable_costs_min_row,COLUMN()) &amp; ":" &amp; ADDRESS(variable_costs_max_row, COLUMN())))</f>
        <v>0</v>
      </c>
      <c r="AH46" s="20">
        <f t="array" aca="1" ref="AH46" ca="1">SUM(INDIRECT(ADDRESS(variable_costs_min_row,COLUMN()) &amp; ":" &amp; ADDRESS(variable_costs_max_row, COLUMN())))</f>
        <v>0</v>
      </c>
      <c r="AI46" s="20">
        <f t="array" aca="1" ref="AI46" ca="1">SUM(INDIRECT(ADDRESS(variable_costs_min_row,COLUMN()) &amp; ":" &amp; ADDRESS(variable_costs_max_row, COLUMN())))</f>
        <v>0</v>
      </c>
      <c r="AJ46" s="20">
        <f t="array" aca="1" ref="AJ46" ca="1">SUM(INDIRECT(ADDRESS(variable_costs_min_row,COLUMN()) &amp; ":" &amp; ADDRESS(variable_costs_max_row, COLUMN())))</f>
        <v>0</v>
      </c>
      <c r="AK46" s="20">
        <f t="array" aca="1" ref="AK46" ca="1">SUM(INDIRECT(ADDRESS(variable_costs_min_row,COLUMN()) &amp; ":" &amp; ADDRESS(variable_costs_max_row, COLUMN())))</f>
        <v>0</v>
      </c>
      <c r="AL46" s="20">
        <f t="array" aca="1" ref="AL46" ca="1">SUM(INDIRECT(ADDRESS(variable_costs_min_row,COLUMN()) &amp; ":" &amp; ADDRESS(variable_costs_max_row, COLUMN())))</f>
        <v>0</v>
      </c>
      <c r="AM46" s="20">
        <f t="array" aca="1" ref="AM46" ca="1">SUM(INDIRECT(ADDRESS(variable_costs_min_row,COLUMN()) &amp; ":" &amp; ADDRESS(variable_costs_max_row, COLUMN())))</f>
        <v>0</v>
      </c>
      <c r="AN46" s="20">
        <f t="array" aca="1" ref="AN46" ca="1">SUM(INDIRECT(ADDRESS(variable_costs_min_row,COLUMN()) &amp; ":" &amp; ADDRESS(variable_costs_max_row, COLUMN())))</f>
        <v>0</v>
      </c>
      <c r="AO46" s="20">
        <f t="array" aca="1" ref="AO46" ca="1">SUM(INDIRECT(ADDRESS(variable_costs_min_row,COLUMN()) &amp; ":" &amp; ADDRESS(variable_costs_max_row, COLUMN())))</f>
        <v>0</v>
      </c>
      <c r="AP46" s="20">
        <f t="array" aca="1" ref="AP46" ca="1">SUM(INDIRECT(ADDRESS(variable_costs_min_row,COLUMN()) &amp; ":" &amp; ADDRESS(variable_costs_max_row, COLUMN())))</f>
        <v>0</v>
      </c>
      <c r="AQ46" s="20">
        <f t="array" aca="1" ref="AQ46" ca="1">SUM(INDIRECT(ADDRESS(variable_costs_min_row,COLUMN()) &amp; ":" &amp; ADDRESS(variable_costs_max_row, COLUMN())))</f>
        <v>0</v>
      </c>
      <c r="AR46" s="20">
        <f t="array" aca="1" ref="AR46" ca="1">SUM(INDIRECT(ADDRESS(variable_costs_min_row,COLUMN()) &amp; ":" &amp; ADDRESS(variable_costs_max_row, COLUMN())))</f>
        <v>0</v>
      </c>
      <c r="AS46" s="20">
        <f t="array" aca="1" ref="AS46" ca="1">SUM(INDIRECT(ADDRESS(variable_costs_min_row,COLUMN()) &amp; ":" &amp; ADDRESS(variable_costs_max_row, COLUMN())))</f>
        <v>0</v>
      </c>
      <c r="AU46" s="20">
        <f t="array" aca="1" ref="AU46" ca="1">SUM(INDIRECT(ADDRESS(variable_costs_min_row,COLUMN()) &amp; ":" &amp; ADDRESS(variable_costs_max_row, COLUMN())))</f>
        <v>0</v>
      </c>
      <c r="AV46" s="20">
        <f t="array" aca="1" ref="AV46" ca="1">SUM(INDIRECT(ADDRESS(variable_costs_min_row,COLUMN()) &amp; ":" &amp; ADDRESS(variable_costs_max_row, COLUMN())))</f>
        <v>0</v>
      </c>
      <c r="AW46" s="20">
        <f t="array" aca="1" ref="AW46" ca="1">SUM(INDIRECT(ADDRESS(variable_costs_min_row,COLUMN()) &amp; ":" &amp; ADDRESS(variable_costs_max_row, COLUMN())))</f>
        <v>0</v>
      </c>
      <c r="AX46" s="20">
        <f t="array" aca="1" ref="AX46" ca="1">SUM(INDIRECT(ADDRESS(variable_costs_min_row,COLUMN()) &amp; ":" &amp; ADDRESS(variable_costs_max_row, COLUMN())))</f>
        <v>0</v>
      </c>
      <c r="AY46" s="20">
        <f t="array" aca="1" ref="AY46" ca="1">SUM(INDIRECT(ADDRESS(variable_costs_min_row,COLUMN()) &amp; ":" &amp; ADDRESS(variable_costs_max_row, COLUMN())))</f>
        <v>0</v>
      </c>
      <c r="AZ46" s="20">
        <f t="array" aca="1" ref="AZ46" ca="1">SUM(INDIRECT(ADDRESS(variable_costs_min_row,COLUMN()) &amp; ":" &amp; ADDRESS(variable_costs_max_row, COLUMN())))</f>
        <v>0</v>
      </c>
      <c r="BA46" s="20">
        <f t="array" aca="1" ref="BA46" ca="1">SUM(INDIRECT(ADDRESS(variable_costs_min_row,COLUMN()) &amp; ":" &amp; ADDRESS(variable_costs_max_row, COLUMN())))</f>
        <v>0</v>
      </c>
      <c r="BB46" s="20">
        <f t="array" aca="1" ref="BB46" ca="1">SUM(INDIRECT(ADDRESS(variable_costs_min_row,COLUMN()) &amp; ":" &amp; ADDRESS(variable_costs_max_row, COLUMN())))</f>
        <v>0</v>
      </c>
      <c r="BC46" s="20">
        <f t="array" aca="1" ref="BC46" ca="1">SUM(INDIRECT(ADDRESS(variable_costs_min_row,COLUMN()) &amp; ":" &amp; ADDRESS(variable_costs_max_row, COLUMN())))</f>
        <v>0</v>
      </c>
      <c r="BD46" s="20">
        <f t="array" aca="1" ref="BD46" ca="1">SUM(INDIRECT(ADDRESS(variable_costs_min_row,COLUMN()) &amp; ":" &amp; ADDRESS(variable_costs_max_row, COLUMN())))</f>
        <v>0</v>
      </c>
      <c r="BE46" s="20">
        <f t="array" aca="1" ref="BE46" ca="1">SUM(INDIRECT(ADDRESS(variable_costs_min_row,COLUMN()) &amp; ":" &amp; ADDRESS(variable_costs_max_row, COLUMN())))</f>
        <v>0</v>
      </c>
      <c r="BF46" s="20">
        <f t="array" aca="1" ref="BF46" ca="1">SUM(INDIRECT(ADDRESS(variable_costs_min_row,COLUMN()) &amp; ":" &amp; ADDRESS(variable_costs_max_row, COLUMN())))</f>
        <v>0</v>
      </c>
      <c r="BG46" s="20">
        <f t="array" aca="1" ref="BG46" ca="1">SUM(INDIRECT(ADDRESS(variable_costs_min_row,COLUMN()) &amp; ":" &amp; ADDRESS(variable_costs_max_row, COLUMN())))</f>
        <v>0</v>
      </c>
      <c r="BI46" s="20">
        <f t="array" aca="1" ref="BI46" ca="1">SUM(INDIRECT(ADDRESS(variable_costs_min_row,COLUMN()) &amp; ":" &amp; ADDRESS(variable_costs_max_row, COLUMN())))</f>
        <v>0</v>
      </c>
      <c r="BJ46" s="20">
        <f t="array" aca="1" ref="BJ46" ca="1">SUM(INDIRECT(ADDRESS(variable_costs_min_row,COLUMN()) &amp; ":" &amp; ADDRESS(variable_costs_max_row, COLUMN())))</f>
        <v>0</v>
      </c>
      <c r="BK46" s="20">
        <f t="array" aca="1" ref="BK46" ca="1">SUM(INDIRECT(ADDRESS(variable_costs_min_row,COLUMN()) &amp; ":" &amp; ADDRESS(variable_costs_max_row, COLUMN())))</f>
        <v>0</v>
      </c>
      <c r="BL46" s="20">
        <f t="array" aca="1" ref="BL46" ca="1">SUM(INDIRECT(ADDRESS(variable_costs_min_row,COLUMN()) &amp; ":" &amp; ADDRESS(variable_costs_max_row, COLUMN())))</f>
        <v>0</v>
      </c>
      <c r="BM46" s="20">
        <f t="array" aca="1" ref="BM46" ca="1">SUM(INDIRECT(ADDRESS(variable_costs_min_row,COLUMN()) &amp; ":" &amp; ADDRESS(variable_costs_max_row, COLUMN())))</f>
        <v>0</v>
      </c>
      <c r="BN46" s="20">
        <f t="array" aca="1" ref="BN46" ca="1">SUM(INDIRECT(ADDRESS(variable_costs_min_row,COLUMN()) &amp; ":" &amp; ADDRESS(variable_costs_max_row, COLUMN())))</f>
        <v>0</v>
      </c>
      <c r="BO46" s="20">
        <f t="array" aca="1" ref="BO46" ca="1">SUM(INDIRECT(ADDRESS(variable_costs_min_row,COLUMN()) &amp; ":" &amp; ADDRESS(variable_costs_max_row, COLUMN())))</f>
        <v>0</v>
      </c>
      <c r="BP46" s="20">
        <f t="array" aca="1" ref="BP46" ca="1">SUM(INDIRECT(ADDRESS(variable_costs_min_row,COLUMN()) &amp; ":" &amp; ADDRESS(variable_costs_max_row, COLUMN())))</f>
        <v>0</v>
      </c>
      <c r="BQ46" s="20">
        <f t="array" aca="1" ref="BQ46" ca="1">SUM(INDIRECT(ADDRESS(variable_costs_min_row,COLUMN()) &amp; ":" &amp; ADDRESS(variable_costs_max_row, COLUMN())))</f>
        <v>0</v>
      </c>
      <c r="BR46" s="20">
        <f t="array" aca="1" ref="BR46" ca="1">SUM(INDIRECT(ADDRESS(variable_costs_min_row,COLUMN()) &amp; ":" &amp; ADDRESS(variable_costs_max_row, COLUMN())))</f>
        <v>0</v>
      </c>
      <c r="BS46" s="20">
        <f t="array" aca="1" ref="BS46" ca="1">SUM(INDIRECT(ADDRESS(variable_costs_min_row,COLUMN()) &amp; ":" &amp; ADDRESS(variable_costs_max_row, COLUMN())))</f>
        <v>0</v>
      </c>
      <c r="BT46" s="20">
        <f t="array" aca="1" ref="BT46" ca="1">SUM(INDIRECT(ADDRESS(variable_costs_min_row,COLUMN()) &amp; ":" &amp; ADDRESS(variable_costs_max_row, COLUMN())))</f>
        <v>0</v>
      </c>
      <c r="BU46" s="20">
        <f t="array" aca="1" ref="BU46" ca="1">SUM(INDIRECT(ADDRESS(variable_costs_min_row,COLUMN()) &amp; ":" &amp; ADDRESS(variable_costs_max_row, COLUMN())))</f>
        <v>0</v>
      </c>
      <c r="BW46" s="20">
        <f t="array" aca="1" ref="BW46" ca="1">SUM(INDIRECT(ADDRESS(variable_costs_min_row,COLUMN()) &amp; ":" &amp; ADDRESS(variable_costs_max_row, COLUMN())))</f>
        <v>0</v>
      </c>
      <c r="BX46" s="20">
        <f t="array" aca="1" ref="BX46" ca="1">SUM(INDIRECT(ADDRESS(variable_costs_min_row,COLUMN()) &amp; ":" &amp; ADDRESS(variable_costs_max_row, COLUMN())))</f>
        <v>0</v>
      </c>
      <c r="BY46" s="20">
        <f t="array" aca="1" ref="BY46" ca="1">SUM(INDIRECT(ADDRESS(variable_costs_min_row,COLUMN()) &amp; ":" &amp; ADDRESS(variable_costs_max_row, COLUMN())))</f>
        <v>0</v>
      </c>
      <c r="BZ46" s="20">
        <f t="array" aca="1" ref="BZ46" ca="1">SUM(INDIRECT(ADDRESS(variable_costs_min_row,COLUMN()) &amp; ":" &amp; ADDRESS(variable_costs_max_row, COLUMN())))</f>
        <v>0</v>
      </c>
      <c r="CA46" s="20">
        <f t="array" aca="1" ref="CA46" ca="1">SUM(INDIRECT(ADDRESS(variable_costs_min_row,COLUMN()) &amp; ":" &amp; ADDRESS(variable_costs_max_row, COLUMN())))</f>
        <v>0</v>
      </c>
      <c r="CB46" s="20">
        <f t="array" aca="1" ref="CB46" ca="1">SUM(INDIRECT(ADDRESS(variable_costs_min_row,COLUMN()) &amp; ":" &amp; ADDRESS(variable_costs_max_row, COLUMN())))</f>
        <v>0</v>
      </c>
      <c r="CC46" s="20">
        <f t="array" aca="1" ref="CC46" ca="1">SUM(INDIRECT(ADDRESS(variable_costs_min_row,COLUMN()) &amp; ":" &amp; ADDRESS(variable_costs_max_row, COLUMN())))</f>
        <v>0</v>
      </c>
      <c r="CD46" s="20">
        <f t="array" aca="1" ref="CD46" ca="1">SUM(INDIRECT(ADDRESS(variable_costs_min_row,COLUMN()) &amp; ":" &amp; ADDRESS(variable_costs_max_row, COLUMN())))</f>
        <v>0</v>
      </c>
      <c r="CE46" s="20">
        <f t="array" aca="1" ref="CE46" ca="1">SUM(INDIRECT(ADDRESS(variable_costs_min_row,COLUMN()) &amp; ":" &amp; ADDRESS(variable_costs_max_row, COLUMN())))</f>
        <v>0</v>
      </c>
      <c r="CF46" s="20">
        <f t="array" aca="1" ref="CF46" ca="1">SUM(INDIRECT(ADDRESS(variable_costs_min_row,COLUMN()) &amp; ":" &amp; ADDRESS(variable_costs_max_row, COLUMN())))</f>
        <v>0</v>
      </c>
      <c r="CG46" s="20">
        <f t="array" aca="1" ref="CG46" ca="1">SUM(INDIRECT(ADDRESS(variable_costs_min_row,COLUMN()) &amp; ":" &amp; ADDRESS(variable_costs_max_row, COLUMN())))</f>
        <v>0</v>
      </c>
      <c r="CH46" s="20">
        <f t="array" aca="1" ref="CH46" ca="1">SUM(INDIRECT(ADDRESS(variable_costs_min_row,COLUMN()) &amp; ":" &amp; ADDRESS(variable_costs_max_row, COLUMN())))</f>
        <v>0</v>
      </c>
      <c r="CI46" s="20">
        <f t="array" aca="1" ref="CI46" ca="1">SUM(INDIRECT(ADDRESS(variable_costs_min_row,COLUMN()) &amp; ":" &amp; ADDRESS(variable_costs_max_row, COLUMN())))</f>
        <v>0</v>
      </c>
      <c r="CK46" s="20">
        <f t="array" aca="1" ref="CK46" ca="1">SUM(INDIRECT(ADDRESS(variable_costs_min_row,COLUMN()) &amp; ":" &amp; ADDRESS(variable_costs_max_row, COLUMN())))</f>
        <v>0</v>
      </c>
      <c r="CL46" s="20">
        <f t="array" aca="1" ref="CL46" ca="1">SUM(INDIRECT(ADDRESS(variable_costs_min_row,COLUMN()) &amp; ":" &amp; ADDRESS(variable_costs_max_row, COLUMN())))</f>
        <v>0</v>
      </c>
      <c r="CM46" s="20">
        <f t="array" aca="1" ref="CM46" ca="1">SUM(INDIRECT(ADDRESS(variable_costs_min_row,COLUMN()) &amp; ":" &amp; ADDRESS(variable_costs_max_row, COLUMN())))</f>
        <v>0</v>
      </c>
      <c r="CN46" s="20">
        <f t="array" aca="1" ref="CN46" ca="1">SUM(INDIRECT(ADDRESS(variable_costs_min_row,COLUMN()) &amp; ":" &amp; ADDRESS(variable_costs_max_row, COLUMN())))</f>
        <v>0</v>
      </c>
      <c r="CO46" s="20">
        <f t="array" aca="1" ref="CO46" ca="1">SUM(INDIRECT(ADDRESS(variable_costs_min_row,COLUMN()) &amp; ":" &amp; ADDRESS(variable_costs_max_row, COLUMN())))</f>
        <v>0</v>
      </c>
      <c r="CP46" s="20">
        <f t="array" aca="1" ref="CP46" ca="1">SUM(INDIRECT(ADDRESS(variable_costs_min_row,COLUMN()) &amp; ":" &amp; ADDRESS(variable_costs_max_row, COLUMN())))</f>
        <v>0</v>
      </c>
      <c r="CQ46" s="20">
        <f t="array" aca="1" ref="CQ46" ca="1">SUM(INDIRECT(ADDRESS(variable_costs_min_row,COLUMN()) &amp; ":" &amp; ADDRESS(variable_costs_max_row, COLUMN())))</f>
        <v>0</v>
      </c>
      <c r="CR46" s="20">
        <f t="array" aca="1" ref="CR46" ca="1">SUM(INDIRECT(ADDRESS(variable_costs_min_row,COLUMN()) &amp; ":" &amp; ADDRESS(variable_costs_max_row, COLUMN())))</f>
        <v>0</v>
      </c>
      <c r="CS46" s="20">
        <f t="array" aca="1" ref="CS46" ca="1">SUM(INDIRECT(ADDRESS(variable_costs_min_row,COLUMN()) &amp; ":" &amp; ADDRESS(variable_costs_max_row, COLUMN())))</f>
        <v>0</v>
      </c>
      <c r="CT46" s="20">
        <f t="array" aca="1" ref="CT46" ca="1">SUM(INDIRECT(ADDRESS(variable_costs_min_row,COLUMN()) &amp; ":" &amp; ADDRESS(variable_costs_max_row, COLUMN())))</f>
        <v>0</v>
      </c>
      <c r="CU46" s="20">
        <f t="array" aca="1" ref="CU46" ca="1">SUM(INDIRECT(ADDRESS(variable_costs_min_row,COLUMN()) &amp; ":" &amp; ADDRESS(variable_costs_max_row, COLUMN())))</f>
        <v>0</v>
      </c>
      <c r="CV46" s="20">
        <f t="array" aca="1" ref="CV46" ca="1">SUM(INDIRECT(ADDRESS(variable_costs_min_row,COLUMN()) &amp; ":" &amp; ADDRESS(variable_costs_max_row, COLUMN())))</f>
        <v>0</v>
      </c>
      <c r="CW46" s="20">
        <f t="array" aca="1" ref="CW46" ca="1">SUM(INDIRECT(ADDRESS(variable_costs_min_row,COLUMN()) &amp; ":" &amp; ADDRESS(variable_costs_max_row, COLUMN())))</f>
        <v>0</v>
      </c>
      <c r="CY46" s="20">
        <f t="array" aca="1" ref="CY46" ca="1">SUM(INDIRECT(ADDRESS(variable_costs_min_row,COLUMN()) &amp; ":" &amp; ADDRESS(variable_costs_max_row, COLUMN())))</f>
        <v>0</v>
      </c>
      <c r="CZ46" s="20">
        <f t="array" aca="1" ref="CZ46" ca="1">SUM(INDIRECT(ADDRESS(variable_costs_min_row,COLUMN()) &amp; ":" &amp; ADDRESS(variable_costs_max_row, COLUMN())))</f>
        <v>0</v>
      </c>
      <c r="DA46" s="20">
        <f t="array" aca="1" ref="DA46" ca="1">SUM(INDIRECT(ADDRESS(variable_costs_min_row,COLUMN()) &amp; ":" &amp; ADDRESS(variable_costs_max_row, COLUMN())))</f>
        <v>0</v>
      </c>
      <c r="DB46" s="20">
        <f t="array" aca="1" ref="DB46" ca="1">SUM(INDIRECT(ADDRESS(variable_costs_min_row,COLUMN()) &amp; ":" &amp; ADDRESS(variable_costs_max_row, COLUMN())))</f>
        <v>0</v>
      </c>
      <c r="DC46" s="20">
        <f t="array" aca="1" ref="DC46" ca="1">SUM(INDIRECT(ADDRESS(variable_costs_min_row,COLUMN()) &amp; ":" &amp; ADDRESS(variable_costs_max_row, COLUMN())))</f>
        <v>0</v>
      </c>
      <c r="DD46" s="20">
        <f t="array" aca="1" ref="DD46" ca="1">SUM(INDIRECT(ADDRESS(variable_costs_min_row,COLUMN()) &amp; ":" &amp; ADDRESS(variable_costs_max_row, COLUMN())))</f>
        <v>0</v>
      </c>
      <c r="DE46" s="20">
        <f t="array" aca="1" ref="DE46" ca="1">SUM(INDIRECT(ADDRESS(variable_costs_min_row,COLUMN()) &amp; ":" &amp; ADDRESS(variable_costs_max_row, COLUMN())))</f>
        <v>0</v>
      </c>
      <c r="DF46" s="20">
        <f t="array" aca="1" ref="DF46" ca="1">SUM(INDIRECT(ADDRESS(variable_costs_min_row,COLUMN()) &amp; ":" &amp; ADDRESS(variable_costs_max_row, COLUMN())))</f>
        <v>0</v>
      </c>
      <c r="DG46" s="20">
        <f t="array" aca="1" ref="DG46" ca="1">SUM(INDIRECT(ADDRESS(variable_costs_min_row,COLUMN()) &amp; ":" &amp; ADDRESS(variable_costs_max_row, COLUMN())))</f>
        <v>0</v>
      </c>
      <c r="DH46" s="20">
        <f t="array" aca="1" ref="DH46" ca="1">SUM(INDIRECT(ADDRESS(variable_costs_min_row,COLUMN()) &amp; ":" &amp; ADDRESS(variable_costs_max_row, COLUMN())))</f>
        <v>0</v>
      </c>
      <c r="DI46" s="20">
        <f t="array" aca="1" ref="DI46" ca="1">SUM(INDIRECT(ADDRESS(variable_costs_min_row,COLUMN()) &amp; ":" &amp; ADDRESS(variable_costs_max_row, COLUMN())))</f>
        <v>0</v>
      </c>
      <c r="DJ46" s="20">
        <f t="array" aca="1" ref="DJ46" ca="1">SUM(INDIRECT(ADDRESS(variable_costs_min_row,COLUMN()) &amp; ":" &amp; ADDRESS(variable_costs_max_row, COLUMN())))</f>
        <v>0</v>
      </c>
      <c r="DK46" s="20">
        <f t="array" aca="1" ref="DK46" ca="1">SUM(INDIRECT(ADDRESS(variable_costs_min_row,COLUMN()) &amp; ":" &amp; ADDRESS(variable_costs_max_row, COLUMN())))</f>
        <v>0</v>
      </c>
      <c r="DM46" s="20">
        <f t="array" aca="1" ref="DM46" ca="1">SUM(INDIRECT(ADDRESS(variable_costs_min_row,COLUMN()) &amp; ":" &amp; ADDRESS(variable_costs_max_row, COLUMN())))</f>
        <v>0</v>
      </c>
      <c r="DN46" s="20">
        <f t="array" aca="1" ref="DN46" ca="1">SUM(INDIRECT(ADDRESS(variable_costs_min_row,COLUMN()) &amp; ":" &amp; ADDRESS(variable_costs_max_row, COLUMN())))</f>
        <v>0</v>
      </c>
      <c r="DO46" s="20">
        <f t="array" aca="1" ref="DO46" ca="1">SUM(INDIRECT(ADDRESS(variable_costs_min_row,COLUMN()) &amp; ":" &amp; ADDRESS(variable_costs_max_row, COLUMN())))</f>
        <v>0</v>
      </c>
      <c r="DP46" s="20">
        <f t="array" aca="1" ref="DP46" ca="1">SUM(INDIRECT(ADDRESS(variable_costs_min_row,COLUMN()) &amp; ":" &amp; ADDRESS(variable_costs_max_row, COLUMN())))</f>
        <v>0</v>
      </c>
      <c r="DQ46" s="20">
        <f t="array" aca="1" ref="DQ46" ca="1">SUM(INDIRECT(ADDRESS(variable_costs_min_row,COLUMN()) &amp; ":" &amp; ADDRESS(variable_costs_max_row, COLUMN())))</f>
        <v>0</v>
      </c>
      <c r="DR46" s="20">
        <f t="array" aca="1" ref="DR46" ca="1">SUM(INDIRECT(ADDRESS(variable_costs_min_row,COLUMN()) &amp; ":" &amp; ADDRESS(variable_costs_max_row, COLUMN())))</f>
        <v>0</v>
      </c>
      <c r="DS46" s="20">
        <f t="array" aca="1" ref="DS46" ca="1">SUM(INDIRECT(ADDRESS(variable_costs_min_row,COLUMN()) &amp; ":" &amp; ADDRESS(variable_costs_max_row, COLUMN())))</f>
        <v>0</v>
      </c>
      <c r="DT46" s="20">
        <f t="array" aca="1" ref="DT46" ca="1">SUM(INDIRECT(ADDRESS(variable_costs_min_row,COLUMN()) &amp; ":" &amp; ADDRESS(variable_costs_max_row, COLUMN())))</f>
        <v>0</v>
      </c>
      <c r="DU46" s="20">
        <f t="array" aca="1" ref="DU46" ca="1">SUM(INDIRECT(ADDRESS(variable_costs_min_row,COLUMN()) &amp; ":" &amp; ADDRESS(variable_costs_max_row, COLUMN())))</f>
        <v>0</v>
      </c>
      <c r="DV46" s="20">
        <f t="array" aca="1" ref="DV46" ca="1">SUM(INDIRECT(ADDRESS(variable_costs_min_row,COLUMN()) &amp; ":" &amp; ADDRESS(variable_costs_max_row, COLUMN())))</f>
        <v>0</v>
      </c>
      <c r="DW46" s="20">
        <f t="array" aca="1" ref="DW46" ca="1">SUM(INDIRECT(ADDRESS(variable_costs_min_row,COLUMN()) &amp; ":" &amp; ADDRESS(variable_costs_max_row, COLUMN())))</f>
        <v>0</v>
      </c>
      <c r="DX46" s="20">
        <f t="array" aca="1" ref="DX46" ca="1">SUM(INDIRECT(ADDRESS(variable_costs_min_row,COLUMN()) &amp; ":" &amp; ADDRESS(variable_costs_max_row, COLUMN())))</f>
        <v>0</v>
      </c>
      <c r="DY46" s="20">
        <f t="array" aca="1" ref="DY46" ca="1">SUM(INDIRECT(ADDRESS(variable_costs_min_row,COLUMN()) &amp; ":" &amp; ADDRESS(variable_costs_max_row, COLUMN())))</f>
        <v>0</v>
      </c>
      <c r="EA46" s="20">
        <f t="array" aca="1" ref="EA46" ca="1">SUM(INDIRECT(ADDRESS(variable_costs_min_row,COLUMN()) &amp; ":" &amp; ADDRESS(variable_costs_max_row, COLUMN())))</f>
        <v>0</v>
      </c>
      <c r="EB46" s="20">
        <f t="array" aca="1" ref="EB46" ca="1">SUM(INDIRECT(ADDRESS(variable_costs_min_row,COLUMN()) &amp; ":" &amp; ADDRESS(variable_costs_max_row, COLUMN())))</f>
        <v>0</v>
      </c>
      <c r="EC46" s="20">
        <f t="array" aca="1" ref="EC46" ca="1">SUM(INDIRECT(ADDRESS(variable_costs_min_row,COLUMN()) &amp; ":" &amp; ADDRESS(variable_costs_max_row, COLUMN())))</f>
        <v>0</v>
      </c>
      <c r="ED46" s="20">
        <f t="array" aca="1" ref="ED46" ca="1">SUM(INDIRECT(ADDRESS(variable_costs_min_row,COLUMN()) &amp; ":" &amp; ADDRESS(variable_costs_max_row, COLUMN())))</f>
        <v>0</v>
      </c>
      <c r="EE46" s="20">
        <f t="array" aca="1" ref="EE46" ca="1">SUM(INDIRECT(ADDRESS(variable_costs_min_row,COLUMN()) &amp; ":" &amp; ADDRESS(variable_costs_max_row, COLUMN())))</f>
        <v>0</v>
      </c>
      <c r="EF46" s="20">
        <f t="array" aca="1" ref="EF46" ca="1">SUM(INDIRECT(ADDRESS(variable_costs_min_row,COLUMN()) &amp; ":" &amp; ADDRESS(variable_costs_max_row, COLUMN())))</f>
        <v>0</v>
      </c>
      <c r="EG46" s="20">
        <f t="array" aca="1" ref="EG46" ca="1">SUM(INDIRECT(ADDRESS(variable_costs_min_row,COLUMN()) &amp; ":" &amp; ADDRESS(variable_costs_max_row, COLUMN())))</f>
        <v>0</v>
      </c>
      <c r="EH46" s="20">
        <f t="array" aca="1" ref="EH46" ca="1">SUM(INDIRECT(ADDRESS(variable_costs_min_row,COLUMN()) &amp; ":" &amp; ADDRESS(variable_costs_max_row, COLUMN())))</f>
        <v>0</v>
      </c>
      <c r="EI46" s="20">
        <f t="array" aca="1" ref="EI46" ca="1">SUM(INDIRECT(ADDRESS(variable_costs_min_row,COLUMN()) &amp; ":" &amp; ADDRESS(variable_costs_max_row, COLUMN())))</f>
        <v>0</v>
      </c>
      <c r="EJ46" s="20">
        <f t="array" aca="1" ref="EJ46" ca="1">SUM(INDIRECT(ADDRESS(variable_costs_min_row,COLUMN()) &amp; ":" &amp; ADDRESS(variable_costs_max_row, COLUMN())))</f>
        <v>0</v>
      </c>
      <c r="EK46" s="20">
        <f t="array" aca="1" ref="EK46" ca="1">SUM(INDIRECT(ADDRESS(variable_costs_min_row,COLUMN()) &amp; ":" &amp; ADDRESS(variable_costs_max_row, COLUMN())))</f>
        <v>0</v>
      </c>
      <c r="EL46" s="20">
        <f t="array" aca="1" ref="EL46" ca="1">SUM(INDIRECT(ADDRESS(variable_costs_min_row,COLUMN()) &amp; ":" &amp; ADDRESS(variable_costs_max_row, COLUMN())))</f>
        <v>0</v>
      </c>
      <c r="EM46" s="20">
        <f t="array" aca="1" ref="EM46" ca="1">SUM(INDIRECT(ADDRESS(variable_costs_min_row,COLUMN()) &amp; ":" &amp; ADDRESS(variable_costs_max_row, COLUMN())))</f>
        <v>0</v>
      </c>
      <c r="EO46" s="20">
        <f t="array" aca="1" ref="EO46" ca="1">SUM(INDIRECT(ADDRESS(variable_costs_min_row,COLUMN()) &amp; ":" &amp; ADDRESS(variable_costs_max_row, COLUMN())))</f>
        <v>0</v>
      </c>
      <c r="EP46" s="20">
        <f t="array" aca="1" ref="EP46" ca="1">SUM(INDIRECT(ADDRESS(variable_costs_min_row,COLUMN()) &amp; ":" &amp; ADDRESS(variable_costs_max_row, COLUMN())))</f>
        <v>0</v>
      </c>
      <c r="EQ46" s="20">
        <f t="array" aca="1" ref="EQ46" ca="1">SUM(INDIRECT(ADDRESS(variable_costs_min_row,COLUMN()) &amp; ":" &amp; ADDRESS(variable_costs_max_row, COLUMN())))</f>
        <v>0</v>
      </c>
      <c r="ER46" s="20">
        <f t="array" aca="1" ref="ER46" ca="1">SUM(INDIRECT(ADDRESS(variable_costs_min_row,COLUMN()) &amp; ":" &amp; ADDRESS(variable_costs_max_row, COLUMN())))</f>
        <v>0</v>
      </c>
      <c r="ES46" s="20">
        <f t="array" aca="1" ref="ES46" ca="1">SUM(INDIRECT(ADDRESS(variable_costs_min_row,COLUMN()) &amp; ":" &amp; ADDRESS(variable_costs_max_row, COLUMN())))</f>
        <v>0</v>
      </c>
      <c r="ET46" s="20">
        <f t="array" aca="1" ref="ET46" ca="1">SUM(INDIRECT(ADDRESS(variable_costs_min_row,COLUMN()) &amp; ":" &amp; ADDRESS(variable_costs_max_row, COLUMN())))</f>
        <v>0</v>
      </c>
      <c r="EU46" s="20">
        <f t="array" aca="1" ref="EU46" ca="1">SUM(INDIRECT(ADDRESS(variable_costs_min_row,COLUMN()) &amp; ":" &amp; ADDRESS(variable_costs_max_row, COLUMN())))</f>
        <v>0</v>
      </c>
      <c r="EV46" s="20">
        <f t="array" aca="1" ref="EV46" ca="1">SUM(INDIRECT(ADDRESS(variable_costs_min_row,COLUMN()) &amp; ":" &amp; ADDRESS(variable_costs_max_row, COLUMN())))</f>
        <v>0</v>
      </c>
      <c r="EW46" s="20">
        <f t="array" aca="1" ref="EW46" ca="1">SUM(INDIRECT(ADDRESS(variable_costs_min_row,COLUMN()) &amp; ":" &amp; ADDRESS(variable_costs_max_row, COLUMN())))</f>
        <v>0</v>
      </c>
      <c r="EX46" s="20">
        <f t="array" aca="1" ref="EX46" ca="1">SUM(INDIRECT(ADDRESS(variable_costs_min_row,COLUMN()) &amp; ":" &amp; ADDRESS(variable_costs_max_row, COLUMN())))</f>
        <v>0</v>
      </c>
      <c r="EY46" s="20">
        <f t="array" aca="1" ref="EY46" ca="1">SUM(INDIRECT(ADDRESS(variable_costs_min_row,COLUMN()) &amp; ":" &amp; ADDRESS(variable_costs_max_row, COLUMN())))</f>
        <v>0</v>
      </c>
      <c r="EZ46" s="20">
        <f t="array" aca="1" ref="EZ46" ca="1">SUM(INDIRECT(ADDRESS(variable_costs_min_row,COLUMN()) &amp; ":" &amp; ADDRESS(variable_costs_max_row, COLUMN())))</f>
        <v>0</v>
      </c>
      <c r="FA46" s="20">
        <f t="array" aca="1" ref="FA46" ca="1">SUM(INDIRECT(ADDRESS(variable_costs_min_row,COLUMN()) &amp; ":" &amp; ADDRESS(variable_costs_max_row, COLUMN())))</f>
        <v>0</v>
      </c>
    </row>
    <row r="48" spans="3:157" x14ac:dyDescent="0.3">
      <c r="C48" s="34" t="s">
        <v>12</v>
      </c>
      <c r="E48" s="32">
        <f>DATE(E$5,1,1)</f>
        <v>45658</v>
      </c>
      <c r="F48" s="32">
        <f>DATE(E$5,2,1)</f>
        <v>45689</v>
      </c>
      <c r="G48" s="32">
        <f>DATE(E$5,3,1)</f>
        <v>45717</v>
      </c>
      <c r="H48" s="32">
        <f>DATE(E$5,4,1)</f>
        <v>45748</v>
      </c>
      <c r="I48" s="32">
        <f>DATE(E$5,5,1)</f>
        <v>45778</v>
      </c>
      <c r="J48" s="32">
        <f>DATE(E$5,6,1)</f>
        <v>45809</v>
      </c>
      <c r="K48" s="32">
        <f>DATE(E$5,7,1)</f>
        <v>45839</v>
      </c>
      <c r="L48" s="32">
        <f>DATE(E$5,8,1)</f>
        <v>45870</v>
      </c>
      <c r="M48" s="32">
        <f>DATE(E$5,9,1)</f>
        <v>45901</v>
      </c>
      <c r="N48" s="32">
        <f>DATE(E$5,10,1)</f>
        <v>45931</v>
      </c>
      <c r="O48" s="32">
        <f>DATE(E$5,11,1)</f>
        <v>45962</v>
      </c>
      <c r="P48" s="32">
        <f>DATE(E$5,12,1)</f>
        <v>45992</v>
      </c>
      <c r="Q48" s="33">
        <f>E$5</f>
        <v>2025</v>
      </c>
      <c r="S48" s="32">
        <f>DATE(S$5,1,1)</f>
        <v>46023</v>
      </c>
      <c r="T48" s="32">
        <f>DATE(S$5,2,1)</f>
        <v>46054</v>
      </c>
      <c r="U48" s="32">
        <f>DATE(S$5,3,1)</f>
        <v>46082</v>
      </c>
      <c r="V48" s="32">
        <f>DATE(S$5,4,1)</f>
        <v>46113</v>
      </c>
      <c r="W48" s="32">
        <f>DATE(S$5,5,1)</f>
        <v>46143</v>
      </c>
      <c r="X48" s="32">
        <f>DATE(S$5,6,1)</f>
        <v>46174</v>
      </c>
      <c r="Y48" s="32">
        <f>DATE(S$5,7,1)</f>
        <v>46204</v>
      </c>
      <c r="Z48" s="32">
        <f>DATE(S$5,8,1)</f>
        <v>46235</v>
      </c>
      <c r="AA48" s="32">
        <f>DATE(S$5,9,1)</f>
        <v>46266</v>
      </c>
      <c r="AB48" s="32">
        <f>DATE(S$5,10,1)</f>
        <v>46296</v>
      </c>
      <c r="AC48" s="32">
        <f>DATE(S$5,11,1)</f>
        <v>46327</v>
      </c>
      <c r="AD48" s="32">
        <f>DATE(S$5,12,1)</f>
        <v>46357</v>
      </c>
      <c r="AE48" s="33">
        <f>S$5</f>
        <v>2026</v>
      </c>
      <c r="AG48" s="32">
        <f>DATE(AG$5,1,1)</f>
        <v>46388</v>
      </c>
      <c r="AH48" s="32">
        <f>DATE(AG$5,2,1)</f>
        <v>46419</v>
      </c>
      <c r="AI48" s="32">
        <f>DATE(AG$5,3,1)</f>
        <v>46447</v>
      </c>
      <c r="AJ48" s="32">
        <f>DATE(AG$5,4,1)</f>
        <v>46478</v>
      </c>
      <c r="AK48" s="32">
        <f>DATE(AG$5,5,1)</f>
        <v>46508</v>
      </c>
      <c r="AL48" s="32">
        <f>DATE(AG$5,6,1)</f>
        <v>46539</v>
      </c>
      <c r="AM48" s="32">
        <f>DATE(AG$5,7,1)</f>
        <v>46569</v>
      </c>
      <c r="AN48" s="32">
        <f>DATE(AG$5,8,1)</f>
        <v>46600</v>
      </c>
      <c r="AO48" s="32">
        <f>DATE(AG$5,9,1)</f>
        <v>46631</v>
      </c>
      <c r="AP48" s="32">
        <f>DATE(AG$5,10,1)</f>
        <v>46661</v>
      </c>
      <c r="AQ48" s="32">
        <f>DATE(AG$5,11,1)</f>
        <v>46692</v>
      </c>
      <c r="AR48" s="32">
        <f>DATE(AG$5,12,1)</f>
        <v>46722</v>
      </c>
      <c r="AS48" s="33">
        <f>AG$5</f>
        <v>2027</v>
      </c>
      <c r="AU48" s="32">
        <f>DATE(AU$5,1,1)</f>
        <v>46753</v>
      </c>
      <c r="AV48" s="32">
        <f>DATE(AU$5,2,1)</f>
        <v>46784</v>
      </c>
      <c r="AW48" s="32">
        <f>DATE(AU$5,3,1)</f>
        <v>46813</v>
      </c>
      <c r="AX48" s="32">
        <f>DATE(AU$5,4,1)</f>
        <v>46844</v>
      </c>
      <c r="AY48" s="32">
        <f>DATE(AU$5,5,1)</f>
        <v>46874</v>
      </c>
      <c r="AZ48" s="32">
        <f>DATE(AU$5,6,1)</f>
        <v>46905</v>
      </c>
      <c r="BA48" s="32">
        <f>DATE(AU$5,7,1)</f>
        <v>46935</v>
      </c>
      <c r="BB48" s="32">
        <f>DATE(AU$5,8,1)</f>
        <v>46966</v>
      </c>
      <c r="BC48" s="32">
        <f>DATE(AU$5,9,1)</f>
        <v>46997</v>
      </c>
      <c r="BD48" s="32">
        <f>DATE(AU$5,10,1)</f>
        <v>47027</v>
      </c>
      <c r="BE48" s="32">
        <f>DATE(AU$5,11,1)</f>
        <v>47058</v>
      </c>
      <c r="BF48" s="32">
        <f>DATE(AU$5,12,1)</f>
        <v>47088</v>
      </c>
      <c r="BG48" s="33">
        <f>AU$5</f>
        <v>2028</v>
      </c>
      <c r="BI48" s="32">
        <f>DATE(BI$5,1,1)</f>
        <v>47119</v>
      </c>
      <c r="BJ48" s="32">
        <f>DATE(BI$5,2,1)</f>
        <v>47150</v>
      </c>
      <c r="BK48" s="32">
        <f>DATE(BI$5,3,1)</f>
        <v>47178</v>
      </c>
      <c r="BL48" s="32">
        <f>DATE(BI$5,4,1)</f>
        <v>47209</v>
      </c>
      <c r="BM48" s="32">
        <f>DATE(BI$5,5,1)</f>
        <v>47239</v>
      </c>
      <c r="BN48" s="32">
        <f>DATE(BI$5,6,1)</f>
        <v>47270</v>
      </c>
      <c r="BO48" s="32">
        <f>DATE(BI$5,7,1)</f>
        <v>47300</v>
      </c>
      <c r="BP48" s="32">
        <f>DATE(BI$5,8,1)</f>
        <v>47331</v>
      </c>
      <c r="BQ48" s="32">
        <f>DATE(BI$5,9,1)</f>
        <v>47362</v>
      </c>
      <c r="BR48" s="32">
        <f>DATE(BI$5,10,1)</f>
        <v>47392</v>
      </c>
      <c r="BS48" s="32">
        <f>DATE(BI$5,11,1)</f>
        <v>47423</v>
      </c>
      <c r="BT48" s="32">
        <f>DATE(BI$5,12,1)</f>
        <v>47453</v>
      </c>
      <c r="BU48" s="33">
        <f>BI$5</f>
        <v>2029</v>
      </c>
      <c r="BW48" s="32">
        <f>DATE(BW$5,1,1)</f>
        <v>47484</v>
      </c>
      <c r="BX48" s="32">
        <f>DATE(BW$5,2,1)</f>
        <v>47515</v>
      </c>
      <c r="BY48" s="32">
        <f>DATE(BW$5,3,1)</f>
        <v>47543</v>
      </c>
      <c r="BZ48" s="32">
        <f>DATE(BW$5,4,1)</f>
        <v>47574</v>
      </c>
      <c r="CA48" s="32">
        <f>DATE(BW$5,5,1)</f>
        <v>47604</v>
      </c>
      <c r="CB48" s="32">
        <f>DATE(BW$5,6,1)</f>
        <v>47635</v>
      </c>
      <c r="CC48" s="32">
        <f>DATE(BW$5,7,1)</f>
        <v>47665</v>
      </c>
      <c r="CD48" s="32">
        <f>DATE(BW$5,8,1)</f>
        <v>47696</v>
      </c>
      <c r="CE48" s="32">
        <f>DATE(BW$5,9,1)</f>
        <v>47727</v>
      </c>
      <c r="CF48" s="32">
        <f>DATE(BW$5,10,1)</f>
        <v>47757</v>
      </c>
      <c r="CG48" s="32">
        <f>DATE(BW$5,11,1)</f>
        <v>47788</v>
      </c>
      <c r="CH48" s="32">
        <f>DATE(BW$5,12,1)</f>
        <v>47818</v>
      </c>
      <c r="CI48" s="33">
        <f>BW$5</f>
        <v>2030</v>
      </c>
      <c r="CK48" s="32">
        <f>DATE(CK$5,1,1)</f>
        <v>47849</v>
      </c>
      <c r="CL48" s="32">
        <f>DATE(CK$5,2,1)</f>
        <v>47880</v>
      </c>
      <c r="CM48" s="32">
        <f>DATE(CK$5,3,1)</f>
        <v>47908</v>
      </c>
      <c r="CN48" s="32">
        <f>DATE(CK$5,4,1)</f>
        <v>47939</v>
      </c>
      <c r="CO48" s="32">
        <f>DATE(CK$5,5,1)</f>
        <v>47969</v>
      </c>
      <c r="CP48" s="32">
        <f>DATE(CK$5,6,1)</f>
        <v>48000</v>
      </c>
      <c r="CQ48" s="32">
        <f>DATE(CK$5,7,1)</f>
        <v>48030</v>
      </c>
      <c r="CR48" s="32">
        <f>DATE(CK$5,8,1)</f>
        <v>48061</v>
      </c>
      <c r="CS48" s="32">
        <f>DATE(CK$5,9,1)</f>
        <v>48092</v>
      </c>
      <c r="CT48" s="32">
        <f>DATE(CK$5,10,1)</f>
        <v>48122</v>
      </c>
      <c r="CU48" s="32">
        <f>DATE(CK$5,11,1)</f>
        <v>48153</v>
      </c>
      <c r="CV48" s="32">
        <f>DATE(CK$5,12,1)</f>
        <v>48183</v>
      </c>
      <c r="CW48" s="33">
        <f>CK$5</f>
        <v>2031</v>
      </c>
      <c r="CY48" s="32">
        <f>DATE(CY$5,1,1)</f>
        <v>48214</v>
      </c>
      <c r="CZ48" s="32">
        <f>DATE(CY$5,2,1)</f>
        <v>48245</v>
      </c>
      <c r="DA48" s="32">
        <f>DATE(CY$5,3,1)</f>
        <v>48274</v>
      </c>
      <c r="DB48" s="32">
        <f>DATE(CY$5,4,1)</f>
        <v>48305</v>
      </c>
      <c r="DC48" s="32">
        <f>DATE(CY$5,5,1)</f>
        <v>48335</v>
      </c>
      <c r="DD48" s="32">
        <f>DATE(CY$5,6,1)</f>
        <v>48366</v>
      </c>
      <c r="DE48" s="32">
        <f>DATE(CY$5,7,1)</f>
        <v>48396</v>
      </c>
      <c r="DF48" s="32">
        <f>DATE(CY$5,8,1)</f>
        <v>48427</v>
      </c>
      <c r="DG48" s="32">
        <f>DATE(CY$5,9,1)</f>
        <v>48458</v>
      </c>
      <c r="DH48" s="32">
        <f>DATE(CY$5,10,1)</f>
        <v>48488</v>
      </c>
      <c r="DI48" s="32">
        <f>DATE(CY$5,11,1)</f>
        <v>48519</v>
      </c>
      <c r="DJ48" s="32">
        <f>DATE(CY$5,12,1)</f>
        <v>48549</v>
      </c>
      <c r="DK48" s="33">
        <f>CY$5</f>
        <v>2032</v>
      </c>
      <c r="DM48" s="32">
        <f>DATE(DM$5,1,1)</f>
        <v>48580</v>
      </c>
      <c r="DN48" s="32">
        <f>DATE(DM$5,2,1)</f>
        <v>48611</v>
      </c>
      <c r="DO48" s="32">
        <f>DATE(DM$5,3,1)</f>
        <v>48639</v>
      </c>
      <c r="DP48" s="32">
        <f>DATE(DM$5,4,1)</f>
        <v>48670</v>
      </c>
      <c r="DQ48" s="32">
        <f>DATE(DM$5,5,1)</f>
        <v>48700</v>
      </c>
      <c r="DR48" s="32">
        <f>DATE(DM$5,6,1)</f>
        <v>48731</v>
      </c>
      <c r="DS48" s="32">
        <f>DATE(DM$5,7,1)</f>
        <v>48761</v>
      </c>
      <c r="DT48" s="32">
        <f>DATE(DM$5,8,1)</f>
        <v>48792</v>
      </c>
      <c r="DU48" s="32">
        <f>DATE(DM$5,9,1)</f>
        <v>48823</v>
      </c>
      <c r="DV48" s="32">
        <f>DATE(DM$5,10,1)</f>
        <v>48853</v>
      </c>
      <c r="DW48" s="32">
        <f>DATE(DM$5,11,1)</f>
        <v>48884</v>
      </c>
      <c r="DX48" s="32">
        <f>DATE(DM$5,12,1)</f>
        <v>48914</v>
      </c>
      <c r="DY48" s="33">
        <f>DM$5</f>
        <v>2033</v>
      </c>
      <c r="EA48" s="32">
        <f>DATE(EA$5,1,1)</f>
        <v>48945</v>
      </c>
      <c r="EB48" s="32">
        <f>DATE(EA$5,2,1)</f>
        <v>48976</v>
      </c>
      <c r="EC48" s="32">
        <f>DATE(EA$5,3,1)</f>
        <v>49004</v>
      </c>
      <c r="ED48" s="32">
        <f>DATE(EA$5,4,1)</f>
        <v>49035</v>
      </c>
      <c r="EE48" s="32">
        <f>DATE(EA$5,5,1)</f>
        <v>49065</v>
      </c>
      <c r="EF48" s="32">
        <f>DATE(EA$5,6,1)</f>
        <v>49096</v>
      </c>
      <c r="EG48" s="32">
        <f>DATE(EA$5,7,1)</f>
        <v>49126</v>
      </c>
      <c r="EH48" s="32">
        <f>DATE(EA$5,8,1)</f>
        <v>49157</v>
      </c>
      <c r="EI48" s="32">
        <f>DATE(EA$5,9,1)</f>
        <v>49188</v>
      </c>
      <c r="EJ48" s="32">
        <f>DATE(EA$5,10,1)</f>
        <v>49218</v>
      </c>
      <c r="EK48" s="32">
        <f>DATE(EA$5,11,1)</f>
        <v>49249</v>
      </c>
      <c r="EL48" s="32">
        <f>DATE(EA$5,12,1)</f>
        <v>49279</v>
      </c>
      <c r="EM48" s="33">
        <f>EA$5</f>
        <v>2034</v>
      </c>
      <c r="EO48" s="32">
        <f>DATE(EO$5,1,1)</f>
        <v>49310</v>
      </c>
      <c r="EP48" s="32">
        <f>DATE(EO$5,2,1)</f>
        <v>49341</v>
      </c>
      <c r="EQ48" s="32">
        <f>DATE(EO$5,3,1)</f>
        <v>49369</v>
      </c>
      <c r="ER48" s="32">
        <f>DATE(EO$5,4,1)</f>
        <v>49400</v>
      </c>
      <c r="ES48" s="32">
        <f>DATE(EO$5,5,1)</f>
        <v>49430</v>
      </c>
      <c r="ET48" s="32">
        <f>DATE(EO$5,6,1)</f>
        <v>49461</v>
      </c>
      <c r="EU48" s="32">
        <f>DATE(EO$5,7,1)</f>
        <v>49491</v>
      </c>
      <c r="EV48" s="32">
        <f>DATE(EO$5,8,1)</f>
        <v>49522</v>
      </c>
      <c r="EW48" s="32">
        <f>DATE(EO$5,9,1)</f>
        <v>49553</v>
      </c>
      <c r="EX48" s="32">
        <f>DATE(EO$5,10,1)</f>
        <v>49583</v>
      </c>
      <c r="EY48" s="32">
        <f>DATE(EO$5,11,1)</f>
        <v>49614</v>
      </c>
      <c r="EZ48" s="32">
        <f>DATE(EO$5,12,1)</f>
        <v>49644</v>
      </c>
      <c r="FA48" s="33">
        <f>EO$5</f>
        <v>2035</v>
      </c>
    </row>
    <row r="49" spans="3:157" x14ac:dyDescent="0.3">
      <c r="C49" s="18" t="s">
        <v>109</v>
      </c>
      <c r="E49" s="19">
        <v>500</v>
      </c>
      <c r="F49" s="19">
        <v>500</v>
      </c>
      <c r="G49" s="19">
        <v>500</v>
      </c>
      <c r="H49" s="19">
        <v>500</v>
      </c>
      <c r="I49" s="19">
        <v>500</v>
      </c>
      <c r="J49" s="19">
        <v>500</v>
      </c>
      <c r="K49" s="19">
        <v>500</v>
      </c>
      <c r="L49" s="19">
        <v>500</v>
      </c>
      <c r="M49" s="19">
        <v>500</v>
      </c>
      <c r="N49" s="19">
        <v>500</v>
      </c>
      <c r="O49" s="19">
        <v>500</v>
      </c>
      <c r="P49" s="19">
        <v>500</v>
      </c>
      <c r="Q49" s="21">
        <f t="shared" ref="Q49:Q58" si="44">SUM(E49:P49)</f>
        <v>6000</v>
      </c>
      <c r="S49" s="19"/>
      <c r="T49" s="19"/>
      <c r="U49" s="19"/>
      <c r="V49" s="19"/>
      <c r="W49" s="19"/>
      <c r="X49" s="19"/>
      <c r="Y49" s="19"/>
      <c r="Z49" s="19"/>
      <c r="AA49" s="19"/>
      <c r="AB49" s="19"/>
      <c r="AC49" s="19"/>
      <c r="AD49" s="19"/>
      <c r="AE49" s="21">
        <f t="shared" ref="AE49:AE58" si="45">SUM(S49:AD49)</f>
        <v>0</v>
      </c>
      <c r="AG49" s="19"/>
      <c r="AH49" s="19"/>
      <c r="AI49" s="19"/>
      <c r="AJ49" s="19"/>
      <c r="AK49" s="19"/>
      <c r="AL49" s="19"/>
      <c r="AM49" s="19"/>
      <c r="AN49" s="19"/>
      <c r="AO49" s="19"/>
      <c r="AP49" s="19"/>
      <c r="AQ49" s="19"/>
      <c r="AR49" s="19"/>
      <c r="AS49" s="21">
        <f t="shared" ref="AS49:AS58" si="46">SUM(AG49:AR49)</f>
        <v>0</v>
      </c>
      <c r="AU49" s="19"/>
      <c r="AV49" s="19"/>
      <c r="AW49" s="19"/>
      <c r="AX49" s="19"/>
      <c r="AY49" s="19"/>
      <c r="AZ49" s="19"/>
      <c r="BA49" s="19"/>
      <c r="BB49" s="19"/>
      <c r="BC49" s="19"/>
      <c r="BD49" s="19"/>
      <c r="BE49" s="19"/>
      <c r="BF49" s="19"/>
      <c r="BG49" s="21">
        <f t="shared" ref="BG49:BG58" si="47">SUM(AU49:BF49)</f>
        <v>0</v>
      </c>
      <c r="BI49" s="19"/>
      <c r="BJ49" s="19"/>
      <c r="BK49" s="19"/>
      <c r="BL49" s="19"/>
      <c r="BM49" s="19"/>
      <c r="BN49" s="19"/>
      <c r="BO49" s="19"/>
      <c r="BP49" s="19"/>
      <c r="BQ49" s="19"/>
      <c r="BR49" s="19"/>
      <c r="BS49" s="19"/>
      <c r="BT49" s="19"/>
      <c r="BU49" s="21">
        <f t="shared" ref="BU49:BU58" si="48">SUM(BI49:BT49)</f>
        <v>0</v>
      </c>
      <c r="BW49" s="19"/>
      <c r="BX49" s="19"/>
      <c r="BY49" s="19"/>
      <c r="BZ49" s="19"/>
      <c r="CA49" s="19"/>
      <c r="CB49" s="19"/>
      <c r="CC49" s="19"/>
      <c r="CD49" s="19"/>
      <c r="CE49" s="19"/>
      <c r="CF49" s="19"/>
      <c r="CG49" s="19"/>
      <c r="CH49" s="19"/>
      <c r="CI49" s="21">
        <f t="shared" ref="CI49:CI58" si="49">SUM(BW49:CH49)</f>
        <v>0</v>
      </c>
      <c r="CK49" s="19"/>
      <c r="CL49" s="19"/>
      <c r="CM49" s="19"/>
      <c r="CN49" s="19"/>
      <c r="CO49" s="19"/>
      <c r="CP49" s="19"/>
      <c r="CQ49" s="19"/>
      <c r="CR49" s="19"/>
      <c r="CS49" s="19"/>
      <c r="CT49" s="19"/>
      <c r="CU49" s="19"/>
      <c r="CV49" s="19"/>
      <c r="CW49" s="21">
        <f t="shared" ref="CW49:CW58" si="50">SUM(CK49:CV49)</f>
        <v>0</v>
      </c>
      <c r="CY49" s="19"/>
      <c r="CZ49" s="19"/>
      <c r="DA49" s="19"/>
      <c r="DB49" s="19"/>
      <c r="DC49" s="19"/>
      <c r="DD49" s="19"/>
      <c r="DE49" s="19"/>
      <c r="DF49" s="19"/>
      <c r="DG49" s="19"/>
      <c r="DH49" s="19"/>
      <c r="DI49" s="19"/>
      <c r="DJ49" s="19"/>
      <c r="DK49" s="21">
        <f t="shared" ref="DK49:DK58" si="51">SUM(CY49:DJ49)</f>
        <v>0</v>
      </c>
      <c r="DM49" s="19"/>
      <c r="DN49" s="19"/>
      <c r="DO49" s="19"/>
      <c r="DP49" s="19"/>
      <c r="DQ49" s="19"/>
      <c r="DR49" s="19"/>
      <c r="DS49" s="19"/>
      <c r="DT49" s="19"/>
      <c r="DU49" s="19"/>
      <c r="DV49" s="19"/>
      <c r="DW49" s="19"/>
      <c r="DX49" s="19"/>
      <c r="DY49" s="21">
        <f t="shared" ref="DY49:DY58" si="52">SUM(DM49:DX49)</f>
        <v>0</v>
      </c>
      <c r="EA49" s="19"/>
      <c r="EB49" s="19"/>
      <c r="EC49" s="19"/>
      <c r="ED49" s="19"/>
      <c r="EE49" s="19"/>
      <c r="EF49" s="19"/>
      <c r="EG49" s="19"/>
      <c r="EH49" s="19"/>
      <c r="EI49" s="19"/>
      <c r="EJ49" s="19"/>
      <c r="EK49" s="19"/>
      <c r="EL49" s="19"/>
      <c r="EM49" s="21">
        <f t="shared" ref="EM49:EM58" si="53">SUM(EA49:EL49)</f>
        <v>0</v>
      </c>
      <c r="EO49" s="19"/>
      <c r="EP49" s="19"/>
      <c r="EQ49" s="19"/>
      <c r="ER49" s="19"/>
      <c r="ES49" s="19"/>
      <c r="ET49" s="19"/>
      <c r="EU49" s="19"/>
      <c r="EV49" s="19"/>
      <c r="EW49" s="19"/>
      <c r="EX49" s="19"/>
      <c r="EY49" s="19"/>
      <c r="EZ49" s="19"/>
      <c r="FA49" s="21">
        <f t="shared" ref="FA49:FA58" si="54">SUM(EO49:EZ49)</f>
        <v>0</v>
      </c>
    </row>
    <row r="50" spans="3:157" x14ac:dyDescent="0.3">
      <c r="C50" s="18" t="s">
        <v>110</v>
      </c>
      <c r="E50" s="19"/>
      <c r="F50" s="19"/>
      <c r="G50" s="19"/>
      <c r="H50" s="19"/>
      <c r="I50" s="19"/>
      <c r="J50" s="19"/>
      <c r="K50" s="19"/>
      <c r="L50" s="19"/>
      <c r="M50" s="19"/>
      <c r="N50" s="19"/>
      <c r="O50" s="19"/>
      <c r="P50" s="19"/>
      <c r="Q50" s="21">
        <f t="shared" si="44"/>
        <v>0</v>
      </c>
      <c r="S50" s="19"/>
      <c r="T50" s="19"/>
      <c r="U50" s="19"/>
      <c r="V50" s="19"/>
      <c r="W50" s="19"/>
      <c r="X50" s="19"/>
      <c r="Y50" s="19"/>
      <c r="Z50" s="19"/>
      <c r="AA50" s="19"/>
      <c r="AB50" s="19"/>
      <c r="AC50" s="19"/>
      <c r="AD50" s="19"/>
      <c r="AE50" s="21">
        <f t="shared" si="45"/>
        <v>0</v>
      </c>
      <c r="AG50" s="19"/>
      <c r="AH50" s="19"/>
      <c r="AI50" s="19"/>
      <c r="AJ50" s="19"/>
      <c r="AK50" s="19"/>
      <c r="AL50" s="19"/>
      <c r="AM50" s="19"/>
      <c r="AN50" s="19"/>
      <c r="AO50" s="19"/>
      <c r="AP50" s="19"/>
      <c r="AQ50" s="19"/>
      <c r="AR50" s="19"/>
      <c r="AS50" s="21">
        <f t="shared" si="46"/>
        <v>0</v>
      </c>
      <c r="AU50" s="19"/>
      <c r="AV50" s="19"/>
      <c r="AW50" s="19"/>
      <c r="AX50" s="19"/>
      <c r="AY50" s="19"/>
      <c r="AZ50" s="19"/>
      <c r="BA50" s="19"/>
      <c r="BB50" s="19"/>
      <c r="BC50" s="19"/>
      <c r="BD50" s="19"/>
      <c r="BE50" s="19"/>
      <c r="BF50" s="19"/>
      <c r="BG50" s="21">
        <f t="shared" si="47"/>
        <v>0</v>
      </c>
      <c r="BI50" s="19"/>
      <c r="BJ50" s="19"/>
      <c r="BK50" s="19"/>
      <c r="BL50" s="19"/>
      <c r="BM50" s="19"/>
      <c r="BN50" s="19"/>
      <c r="BO50" s="19"/>
      <c r="BP50" s="19"/>
      <c r="BQ50" s="19"/>
      <c r="BR50" s="19"/>
      <c r="BS50" s="19"/>
      <c r="BT50" s="19"/>
      <c r="BU50" s="21">
        <f t="shared" si="48"/>
        <v>0</v>
      </c>
      <c r="BW50" s="19"/>
      <c r="BX50" s="19"/>
      <c r="BY50" s="19"/>
      <c r="BZ50" s="19"/>
      <c r="CA50" s="19"/>
      <c r="CB50" s="19"/>
      <c r="CC50" s="19"/>
      <c r="CD50" s="19"/>
      <c r="CE50" s="19"/>
      <c r="CF50" s="19"/>
      <c r="CG50" s="19"/>
      <c r="CH50" s="19"/>
      <c r="CI50" s="21">
        <f t="shared" si="49"/>
        <v>0</v>
      </c>
      <c r="CK50" s="19"/>
      <c r="CL50" s="19"/>
      <c r="CM50" s="19"/>
      <c r="CN50" s="19"/>
      <c r="CO50" s="19"/>
      <c r="CP50" s="19"/>
      <c r="CQ50" s="19"/>
      <c r="CR50" s="19"/>
      <c r="CS50" s="19"/>
      <c r="CT50" s="19"/>
      <c r="CU50" s="19"/>
      <c r="CV50" s="19"/>
      <c r="CW50" s="21">
        <f t="shared" si="50"/>
        <v>0</v>
      </c>
      <c r="CY50" s="19"/>
      <c r="CZ50" s="19"/>
      <c r="DA50" s="19"/>
      <c r="DB50" s="19"/>
      <c r="DC50" s="19"/>
      <c r="DD50" s="19"/>
      <c r="DE50" s="19"/>
      <c r="DF50" s="19"/>
      <c r="DG50" s="19"/>
      <c r="DH50" s="19"/>
      <c r="DI50" s="19"/>
      <c r="DJ50" s="19"/>
      <c r="DK50" s="21">
        <f t="shared" si="51"/>
        <v>0</v>
      </c>
      <c r="DM50" s="19"/>
      <c r="DN50" s="19"/>
      <c r="DO50" s="19"/>
      <c r="DP50" s="19"/>
      <c r="DQ50" s="19"/>
      <c r="DR50" s="19"/>
      <c r="DS50" s="19"/>
      <c r="DT50" s="19"/>
      <c r="DU50" s="19"/>
      <c r="DV50" s="19"/>
      <c r="DW50" s="19"/>
      <c r="DX50" s="19"/>
      <c r="DY50" s="21">
        <f t="shared" si="52"/>
        <v>0</v>
      </c>
      <c r="EA50" s="19"/>
      <c r="EB50" s="19"/>
      <c r="EC50" s="19"/>
      <c r="ED50" s="19"/>
      <c r="EE50" s="19"/>
      <c r="EF50" s="19"/>
      <c r="EG50" s="19"/>
      <c r="EH50" s="19"/>
      <c r="EI50" s="19"/>
      <c r="EJ50" s="19"/>
      <c r="EK50" s="19"/>
      <c r="EL50" s="19"/>
      <c r="EM50" s="21">
        <f t="shared" si="53"/>
        <v>0</v>
      </c>
      <c r="EO50" s="19"/>
      <c r="EP50" s="19"/>
      <c r="EQ50" s="19"/>
      <c r="ER50" s="19"/>
      <c r="ES50" s="19"/>
      <c r="ET50" s="19"/>
      <c r="EU50" s="19"/>
      <c r="EV50" s="19"/>
      <c r="EW50" s="19"/>
      <c r="EX50" s="19"/>
      <c r="EY50" s="19"/>
      <c r="EZ50" s="19"/>
      <c r="FA50" s="21">
        <f t="shared" si="54"/>
        <v>0</v>
      </c>
    </row>
    <row r="51" spans="3:157" x14ac:dyDescent="0.3">
      <c r="C51" s="18" t="s">
        <v>111</v>
      </c>
      <c r="E51" s="19"/>
      <c r="F51" s="19"/>
      <c r="G51" s="19"/>
      <c r="H51" s="19"/>
      <c r="I51" s="19"/>
      <c r="J51" s="19"/>
      <c r="K51" s="19"/>
      <c r="L51" s="19"/>
      <c r="M51" s="19"/>
      <c r="N51" s="19"/>
      <c r="O51" s="19"/>
      <c r="P51" s="19"/>
      <c r="Q51" s="21">
        <f t="shared" si="44"/>
        <v>0</v>
      </c>
      <c r="S51" s="19"/>
      <c r="T51" s="19"/>
      <c r="U51" s="19"/>
      <c r="V51" s="19"/>
      <c r="W51" s="19"/>
      <c r="X51" s="19"/>
      <c r="Y51" s="19"/>
      <c r="Z51" s="19"/>
      <c r="AA51" s="19"/>
      <c r="AB51" s="19"/>
      <c r="AC51" s="19"/>
      <c r="AD51" s="19"/>
      <c r="AE51" s="21">
        <f t="shared" si="45"/>
        <v>0</v>
      </c>
      <c r="AG51" s="19"/>
      <c r="AH51" s="19"/>
      <c r="AI51" s="19"/>
      <c r="AJ51" s="19"/>
      <c r="AK51" s="19"/>
      <c r="AL51" s="19"/>
      <c r="AM51" s="19"/>
      <c r="AN51" s="19"/>
      <c r="AO51" s="19"/>
      <c r="AP51" s="19"/>
      <c r="AQ51" s="19"/>
      <c r="AR51" s="19"/>
      <c r="AS51" s="21">
        <f t="shared" si="46"/>
        <v>0</v>
      </c>
      <c r="AU51" s="19"/>
      <c r="AV51" s="19"/>
      <c r="AW51" s="19"/>
      <c r="AX51" s="19"/>
      <c r="AY51" s="19"/>
      <c r="AZ51" s="19"/>
      <c r="BA51" s="19"/>
      <c r="BB51" s="19"/>
      <c r="BC51" s="19"/>
      <c r="BD51" s="19"/>
      <c r="BE51" s="19"/>
      <c r="BF51" s="19"/>
      <c r="BG51" s="21">
        <f t="shared" si="47"/>
        <v>0</v>
      </c>
      <c r="BI51" s="19"/>
      <c r="BJ51" s="19"/>
      <c r="BK51" s="19"/>
      <c r="BL51" s="19"/>
      <c r="BM51" s="19"/>
      <c r="BN51" s="19"/>
      <c r="BO51" s="19"/>
      <c r="BP51" s="19"/>
      <c r="BQ51" s="19"/>
      <c r="BR51" s="19"/>
      <c r="BS51" s="19"/>
      <c r="BT51" s="19"/>
      <c r="BU51" s="21">
        <f t="shared" si="48"/>
        <v>0</v>
      </c>
      <c r="BW51" s="19"/>
      <c r="BX51" s="19"/>
      <c r="BY51" s="19"/>
      <c r="BZ51" s="19"/>
      <c r="CA51" s="19"/>
      <c r="CB51" s="19"/>
      <c r="CC51" s="19"/>
      <c r="CD51" s="19"/>
      <c r="CE51" s="19"/>
      <c r="CF51" s="19"/>
      <c r="CG51" s="19"/>
      <c r="CH51" s="19"/>
      <c r="CI51" s="21">
        <f t="shared" si="49"/>
        <v>0</v>
      </c>
      <c r="CK51" s="19"/>
      <c r="CL51" s="19"/>
      <c r="CM51" s="19"/>
      <c r="CN51" s="19"/>
      <c r="CO51" s="19"/>
      <c r="CP51" s="19"/>
      <c r="CQ51" s="19"/>
      <c r="CR51" s="19"/>
      <c r="CS51" s="19"/>
      <c r="CT51" s="19"/>
      <c r="CU51" s="19"/>
      <c r="CV51" s="19"/>
      <c r="CW51" s="21">
        <f t="shared" si="50"/>
        <v>0</v>
      </c>
      <c r="CY51" s="19"/>
      <c r="CZ51" s="19"/>
      <c r="DA51" s="19"/>
      <c r="DB51" s="19"/>
      <c r="DC51" s="19"/>
      <c r="DD51" s="19"/>
      <c r="DE51" s="19"/>
      <c r="DF51" s="19"/>
      <c r="DG51" s="19"/>
      <c r="DH51" s="19"/>
      <c r="DI51" s="19"/>
      <c r="DJ51" s="19"/>
      <c r="DK51" s="21">
        <f t="shared" si="51"/>
        <v>0</v>
      </c>
      <c r="DM51" s="19"/>
      <c r="DN51" s="19"/>
      <c r="DO51" s="19"/>
      <c r="DP51" s="19"/>
      <c r="DQ51" s="19"/>
      <c r="DR51" s="19"/>
      <c r="DS51" s="19"/>
      <c r="DT51" s="19"/>
      <c r="DU51" s="19"/>
      <c r="DV51" s="19"/>
      <c r="DW51" s="19"/>
      <c r="DX51" s="19"/>
      <c r="DY51" s="21">
        <f t="shared" si="52"/>
        <v>0</v>
      </c>
      <c r="EA51" s="19"/>
      <c r="EB51" s="19"/>
      <c r="EC51" s="19"/>
      <c r="ED51" s="19"/>
      <c r="EE51" s="19"/>
      <c r="EF51" s="19"/>
      <c r="EG51" s="19"/>
      <c r="EH51" s="19"/>
      <c r="EI51" s="19"/>
      <c r="EJ51" s="19"/>
      <c r="EK51" s="19"/>
      <c r="EL51" s="19"/>
      <c r="EM51" s="21">
        <f t="shared" si="53"/>
        <v>0</v>
      </c>
      <c r="EO51" s="19"/>
      <c r="EP51" s="19"/>
      <c r="EQ51" s="19"/>
      <c r="ER51" s="19"/>
      <c r="ES51" s="19"/>
      <c r="ET51" s="19"/>
      <c r="EU51" s="19"/>
      <c r="EV51" s="19"/>
      <c r="EW51" s="19"/>
      <c r="EX51" s="19"/>
      <c r="EY51" s="19"/>
      <c r="EZ51" s="19"/>
      <c r="FA51" s="21">
        <f t="shared" si="54"/>
        <v>0</v>
      </c>
    </row>
    <row r="52" spans="3:157" hidden="1" x14ac:dyDescent="0.3">
      <c r="C52" s="18" t="s">
        <v>108</v>
      </c>
      <c r="E52" s="19"/>
      <c r="F52" s="19"/>
      <c r="G52" s="19"/>
      <c r="H52" s="19"/>
      <c r="I52" s="19"/>
      <c r="J52" s="19"/>
      <c r="K52" s="19"/>
      <c r="L52" s="19"/>
      <c r="M52" s="19"/>
      <c r="N52" s="19"/>
      <c r="O52" s="19"/>
      <c r="P52" s="19"/>
      <c r="Q52" s="21">
        <f t="shared" si="44"/>
        <v>0</v>
      </c>
      <c r="S52" s="19"/>
      <c r="T52" s="19"/>
      <c r="U52" s="19"/>
      <c r="V52" s="19"/>
      <c r="W52" s="19"/>
      <c r="X52" s="19"/>
      <c r="Y52" s="19"/>
      <c r="Z52" s="19"/>
      <c r="AA52" s="19"/>
      <c r="AB52" s="19"/>
      <c r="AC52" s="19"/>
      <c r="AD52" s="19"/>
      <c r="AE52" s="21">
        <f t="shared" si="45"/>
        <v>0</v>
      </c>
      <c r="AG52" s="19"/>
      <c r="AH52" s="19"/>
      <c r="AI52" s="19"/>
      <c r="AJ52" s="19"/>
      <c r="AK52" s="19"/>
      <c r="AL52" s="19"/>
      <c r="AM52" s="19"/>
      <c r="AN52" s="19"/>
      <c r="AO52" s="19"/>
      <c r="AP52" s="19"/>
      <c r="AQ52" s="19"/>
      <c r="AR52" s="19"/>
      <c r="AS52" s="21">
        <f t="shared" si="46"/>
        <v>0</v>
      </c>
      <c r="AU52" s="19"/>
      <c r="AV52" s="19"/>
      <c r="AW52" s="19"/>
      <c r="AX52" s="19"/>
      <c r="AY52" s="19"/>
      <c r="AZ52" s="19"/>
      <c r="BA52" s="19"/>
      <c r="BB52" s="19"/>
      <c r="BC52" s="19"/>
      <c r="BD52" s="19"/>
      <c r="BE52" s="19"/>
      <c r="BF52" s="19"/>
      <c r="BG52" s="21">
        <f t="shared" si="47"/>
        <v>0</v>
      </c>
      <c r="BI52" s="19"/>
      <c r="BJ52" s="19"/>
      <c r="BK52" s="19"/>
      <c r="BL52" s="19"/>
      <c r="BM52" s="19"/>
      <c r="BN52" s="19"/>
      <c r="BO52" s="19"/>
      <c r="BP52" s="19"/>
      <c r="BQ52" s="19"/>
      <c r="BR52" s="19"/>
      <c r="BS52" s="19"/>
      <c r="BT52" s="19"/>
      <c r="BU52" s="21">
        <f t="shared" si="48"/>
        <v>0</v>
      </c>
      <c r="BW52" s="19"/>
      <c r="BX52" s="19"/>
      <c r="BY52" s="19"/>
      <c r="BZ52" s="19"/>
      <c r="CA52" s="19"/>
      <c r="CB52" s="19"/>
      <c r="CC52" s="19"/>
      <c r="CD52" s="19"/>
      <c r="CE52" s="19"/>
      <c r="CF52" s="19"/>
      <c r="CG52" s="19"/>
      <c r="CH52" s="19"/>
      <c r="CI52" s="21">
        <f t="shared" si="49"/>
        <v>0</v>
      </c>
      <c r="CK52" s="19"/>
      <c r="CL52" s="19"/>
      <c r="CM52" s="19"/>
      <c r="CN52" s="19"/>
      <c r="CO52" s="19"/>
      <c r="CP52" s="19"/>
      <c r="CQ52" s="19"/>
      <c r="CR52" s="19"/>
      <c r="CS52" s="19"/>
      <c r="CT52" s="19"/>
      <c r="CU52" s="19"/>
      <c r="CV52" s="19"/>
      <c r="CW52" s="21">
        <f t="shared" si="50"/>
        <v>0</v>
      </c>
      <c r="CY52" s="19"/>
      <c r="CZ52" s="19"/>
      <c r="DA52" s="19"/>
      <c r="DB52" s="19"/>
      <c r="DC52" s="19"/>
      <c r="DD52" s="19"/>
      <c r="DE52" s="19"/>
      <c r="DF52" s="19"/>
      <c r="DG52" s="19"/>
      <c r="DH52" s="19"/>
      <c r="DI52" s="19"/>
      <c r="DJ52" s="19"/>
      <c r="DK52" s="21">
        <f t="shared" si="51"/>
        <v>0</v>
      </c>
      <c r="DM52" s="19"/>
      <c r="DN52" s="19"/>
      <c r="DO52" s="19"/>
      <c r="DP52" s="19"/>
      <c r="DQ52" s="19"/>
      <c r="DR52" s="19"/>
      <c r="DS52" s="19"/>
      <c r="DT52" s="19"/>
      <c r="DU52" s="19"/>
      <c r="DV52" s="19"/>
      <c r="DW52" s="19"/>
      <c r="DX52" s="19"/>
      <c r="DY52" s="21">
        <f t="shared" si="52"/>
        <v>0</v>
      </c>
      <c r="EA52" s="19"/>
      <c r="EB52" s="19"/>
      <c r="EC52" s="19"/>
      <c r="ED52" s="19"/>
      <c r="EE52" s="19"/>
      <c r="EF52" s="19"/>
      <c r="EG52" s="19"/>
      <c r="EH52" s="19"/>
      <c r="EI52" s="19"/>
      <c r="EJ52" s="19"/>
      <c r="EK52" s="19"/>
      <c r="EL52" s="19"/>
      <c r="EM52" s="21">
        <f t="shared" si="53"/>
        <v>0</v>
      </c>
      <c r="EO52" s="19"/>
      <c r="EP52" s="19"/>
      <c r="EQ52" s="19"/>
      <c r="ER52" s="19"/>
      <c r="ES52" s="19"/>
      <c r="ET52" s="19"/>
      <c r="EU52" s="19"/>
      <c r="EV52" s="19"/>
      <c r="EW52" s="19"/>
      <c r="EX52" s="19"/>
      <c r="EY52" s="19"/>
      <c r="EZ52" s="19"/>
      <c r="FA52" s="21">
        <f t="shared" si="54"/>
        <v>0</v>
      </c>
    </row>
    <row r="53" spans="3:157" hidden="1" x14ac:dyDescent="0.3">
      <c r="C53" s="18" t="s">
        <v>108</v>
      </c>
      <c r="E53" s="19"/>
      <c r="F53" s="19"/>
      <c r="G53" s="19"/>
      <c r="H53" s="19"/>
      <c r="I53" s="19"/>
      <c r="J53" s="19"/>
      <c r="K53" s="19"/>
      <c r="L53" s="19"/>
      <c r="M53" s="19"/>
      <c r="N53" s="19"/>
      <c r="O53" s="19"/>
      <c r="P53" s="19"/>
      <c r="Q53" s="21">
        <f t="shared" si="44"/>
        <v>0</v>
      </c>
      <c r="S53" s="19"/>
      <c r="T53" s="19"/>
      <c r="U53" s="19"/>
      <c r="V53" s="19"/>
      <c r="W53" s="19"/>
      <c r="X53" s="19"/>
      <c r="Y53" s="19"/>
      <c r="Z53" s="19"/>
      <c r="AA53" s="19"/>
      <c r="AB53" s="19"/>
      <c r="AC53" s="19"/>
      <c r="AD53" s="19"/>
      <c r="AE53" s="21">
        <f t="shared" si="45"/>
        <v>0</v>
      </c>
      <c r="AG53" s="19"/>
      <c r="AH53" s="19"/>
      <c r="AI53" s="19"/>
      <c r="AJ53" s="19"/>
      <c r="AK53" s="19"/>
      <c r="AL53" s="19"/>
      <c r="AM53" s="19"/>
      <c r="AN53" s="19"/>
      <c r="AO53" s="19"/>
      <c r="AP53" s="19"/>
      <c r="AQ53" s="19"/>
      <c r="AR53" s="19"/>
      <c r="AS53" s="21">
        <f t="shared" si="46"/>
        <v>0</v>
      </c>
      <c r="AU53" s="19"/>
      <c r="AV53" s="19"/>
      <c r="AW53" s="19"/>
      <c r="AX53" s="19"/>
      <c r="AY53" s="19"/>
      <c r="AZ53" s="19"/>
      <c r="BA53" s="19"/>
      <c r="BB53" s="19"/>
      <c r="BC53" s="19"/>
      <c r="BD53" s="19"/>
      <c r="BE53" s="19"/>
      <c r="BF53" s="19"/>
      <c r="BG53" s="21">
        <f t="shared" si="47"/>
        <v>0</v>
      </c>
      <c r="BI53" s="19"/>
      <c r="BJ53" s="19"/>
      <c r="BK53" s="19"/>
      <c r="BL53" s="19"/>
      <c r="BM53" s="19"/>
      <c r="BN53" s="19"/>
      <c r="BO53" s="19"/>
      <c r="BP53" s="19"/>
      <c r="BQ53" s="19"/>
      <c r="BR53" s="19"/>
      <c r="BS53" s="19"/>
      <c r="BT53" s="19"/>
      <c r="BU53" s="21">
        <f t="shared" si="48"/>
        <v>0</v>
      </c>
      <c r="BW53" s="19"/>
      <c r="BX53" s="19"/>
      <c r="BY53" s="19"/>
      <c r="BZ53" s="19"/>
      <c r="CA53" s="19"/>
      <c r="CB53" s="19"/>
      <c r="CC53" s="19"/>
      <c r="CD53" s="19"/>
      <c r="CE53" s="19"/>
      <c r="CF53" s="19"/>
      <c r="CG53" s="19"/>
      <c r="CH53" s="19"/>
      <c r="CI53" s="21">
        <f t="shared" si="49"/>
        <v>0</v>
      </c>
      <c r="CK53" s="19"/>
      <c r="CL53" s="19"/>
      <c r="CM53" s="19"/>
      <c r="CN53" s="19"/>
      <c r="CO53" s="19"/>
      <c r="CP53" s="19"/>
      <c r="CQ53" s="19"/>
      <c r="CR53" s="19"/>
      <c r="CS53" s="19"/>
      <c r="CT53" s="19"/>
      <c r="CU53" s="19"/>
      <c r="CV53" s="19"/>
      <c r="CW53" s="21">
        <f t="shared" si="50"/>
        <v>0</v>
      </c>
      <c r="CY53" s="19"/>
      <c r="CZ53" s="19"/>
      <c r="DA53" s="19"/>
      <c r="DB53" s="19"/>
      <c r="DC53" s="19"/>
      <c r="DD53" s="19"/>
      <c r="DE53" s="19"/>
      <c r="DF53" s="19"/>
      <c r="DG53" s="19"/>
      <c r="DH53" s="19"/>
      <c r="DI53" s="19"/>
      <c r="DJ53" s="19"/>
      <c r="DK53" s="21">
        <f t="shared" si="51"/>
        <v>0</v>
      </c>
      <c r="DM53" s="19"/>
      <c r="DN53" s="19"/>
      <c r="DO53" s="19"/>
      <c r="DP53" s="19"/>
      <c r="DQ53" s="19"/>
      <c r="DR53" s="19"/>
      <c r="DS53" s="19"/>
      <c r="DT53" s="19"/>
      <c r="DU53" s="19"/>
      <c r="DV53" s="19"/>
      <c r="DW53" s="19"/>
      <c r="DX53" s="19"/>
      <c r="DY53" s="21">
        <f t="shared" si="52"/>
        <v>0</v>
      </c>
      <c r="EA53" s="19"/>
      <c r="EB53" s="19"/>
      <c r="EC53" s="19"/>
      <c r="ED53" s="19"/>
      <c r="EE53" s="19"/>
      <c r="EF53" s="19"/>
      <c r="EG53" s="19"/>
      <c r="EH53" s="19"/>
      <c r="EI53" s="19"/>
      <c r="EJ53" s="19"/>
      <c r="EK53" s="19"/>
      <c r="EL53" s="19"/>
      <c r="EM53" s="21">
        <f t="shared" si="53"/>
        <v>0</v>
      </c>
      <c r="EO53" s="19"/>
      <c r="EP53" s="19"/>
      <c r="EQ53" s="19"/>
      <c r="ER53" s="19"/>
      <c r="ES53" s="19"/>
      <c r="ET53" s="19"/>
      <c r="EU53" s="19"/>
      <c r="EV53" s="19"/>
      <c r="EW53" s="19"/>
      <c r="EX53" s="19"/>
      <c r="EY53" s="19"/>
      <c r="EZ53" s="19"/>
      <c r="FA53" s="21">
        <f t="shared" si="54"/>
        <v>0</v>
      </c>
    </row>
    <row r="54" spans="3:157" hidden="1" x14ac:dyDescent="0.3">
      <c r="C54" s="18" t="s">
        <v>108</v>
      </c>
      <c r="E54" s="19"/>
      <c r="F54" s="19"/>
      <c r="G54" s="19"/>
      <c r="H54" s="19"/>
      <c r="I54" s="19"/>
      <c r="J54" s="19"/>
      <c r="K54" s="19"/>
      <c r="L54" s="19"/>
      <c r="M54" s="19"/>
      <c r="N54" s="19"/>
      <c r="O54" s="19"/>
      <c r="P54" s="19"/>
      <c r="Q54" s="21">
        <f t="shared" si="44"/>
        <v>0</v>
      </c>
      <c r="S54" s="19"/>
      <c r="T54" s="19"/>
      <c r="U54" s="19"/>
      <c r="V54" s="19"/>
      <c r="W54" s="19"/>
      <c r="X54" s="19"/>
      <c r="Y54" s="19"/>
      <c r="Z54" s="19"/>
      <c r="AA54" s="19"/>
      <c r="AB54" s="19"/>
      <c r="AC54" s="19"/>
      <c r="AD54" s="19"/>
      <c r="AE54" s="21">
        <f t="shared" si="45"/>
        <v>0</v>
      </c>
      <c r="AG54" s="19"/>
      <c r="AH54" s="19"/>
      <c r="AI54" s="19"/>
      <c r="AJ54" s="19"/>
      <c r="AK54" s="19"/>
      <c r="AL54" s="19"/>
      <c r="AM54" s="19"/>
      <c r="AN54" s="19"/>
      <c r="AO54" s="19"/>
      <c r="AP54" s="19"/>
      <c r="AQ54" s="19"/>
      <c r="AR54" s="19"/>
      <c r="AS54" s="21">
        <f t="shared" si="46"/>
        <v>0</v>
      </c>
      <c r="AU54" s="19"/>
      <c r="AV54" s="19"/>
      <c r="AW54" s="19"/>
      <c r="AX54" s="19"/>
      <c r="AY54" s="19"/>
      <c r="AZ54" s="19"/>
      <c r="BA54" s="19"/>
      <c r="BB54" s="19"/>
      <c r="BC54" s="19"/>
      <c r="BD54" s="19"/>
      <c r="BE54" s="19"/>
      <c r="BF54" s="19"/>
      <c r="BG54" s="21">
        <f t="shared" si="47"/>
        <v>0</v>
      </c>
      <c r="BI54" s="19"/>
      <c r="BJ54" s="19"/>
      <c r="BK54" s="19"/>
      <c r="BL54" s="19"/>
      <c r="BM54" s="19"/>
      <c r="BN54" s="19"/>
      <c r="BO54" s="19"/>
      <c r="BP54" s="19"/>
      <c r="BQ54" s="19"/>
      <c r="BR54" s="19"/>
      <c r="BS54" s="19"/>
      <c r="BT54" s="19"/>
      <c r="BU54" s="21">
        <f t="shared" si="48"/>
        <v>0</v>
      </c>
      <c r="BW54" s="19"/>
      <c r="BX54" s="19"/>
      <c r="BY54" s="19"/>
      <c r="BZ54" s="19"/>
      <c r="CA54" s="19"/>
      <c r="CB54" s="19"/>
      <c r="CC54" s="19"/>
      <c r="CD54" s="19"/>
      <c r="CE54" s="19"/>
      <c r="CF54" s="19"/>
      <c r="CG54" s="19"/>
      <c r="CH54" s="19"/>
      <c r="CI54" s="21">
        <f t="shared" si="49"/>
        <v>0</v>
      </c>
      <c r="CK54" s="19"/>
      <c r="CL54" s="19"/>
      <c r="CM54" s="19"/>
      <c r="CN54" s="19"/>
      <c r="CO54" s="19"/>
      <c r="CP54" s="19"/>
      <c r="CQ54" s="19"/>
      <c r="CR54" s="19"/>
      <c r="CS54" s="19"/>
      <c r="CT54" s="19"/>
      <c r="CU54" s="19"/>
      <c r="CV54" s="19"/>
      <c r="CW54" s="21">
        <f t="shared" si="50"/>
        <v>0</v>
      </c>
      <c r="CY54" s="19"/>
      <c r="CZ54" s="19"/>
      <c r="DA54" s="19"/>
      <c r="DB54" s="19"/>
      <c r="DC54" s="19"/>
      <c r="DD54" s="19"/>
      <c r="DE54" s="19"/>
      <c r="DF54" s="19"/>
      <c r="DG54" s="19"/>
      <c r="DH54" s="19"/>
      <c r="DI54" s="19"/>
      <c r="DJ54" s="19"/>
      <c r="DK54" s="21">
        <f t="shared" si="51"/>
        <v>0</v>
      </c>
      <c r="DM54" s="19"/>
      <c r="DN54" s="19"/>
      <c r="DO54" s="19"/>
      <c r="DP54" s="19"/>
      <c r="DQ54" s="19"/>
      <c r="DR54" s="19"/>
      <c r="DS54" s="19"/>
      <c r="DT54" s="19"/>
      <c r="DU54" s="19"/>
      <c r="DV54" s="19"/>
      <c r="DW54" s="19"/>
      <c r="DX54" s="19"/>
      <c r="DY54" s="21">
        <f t="shared" si="52"/>
        <v>0</v>
      </c>
      <c r="EA54" s="19"/>
      <c r="EB54" s="19"/>
      <c r="EC54" s="19"/>
      <c r="ED54" s="19"/>
      <c r="EE54" s="19"/>
      <c r="EF54" s="19"/>
      <c r="EG54" s="19"/>
      <c r="EH54" s="19"/>
      <c r="EI54" s="19"/>
      <c r="EJ54" s="19"/>
      <c r="EK54" s="19"/>
      <c r="EL54" s="19"/>
      <c r="EM54" s="21">
        <f t="shared" si="53"/>
        <v>0</v>
      </c>
      <c r="EO54" s="19"/>
      <c r="EP54" s="19"/>
      <c r="EQ54" s="19"/>
      <c r="ER54" s="19"/>
      <c r="ES54" s="19"/>
      <c r="ET54" s="19"/>
      <c r="EU54" s="19"/>
      <c r="EV54" s="19"/>
      <c r="EW54" s="19"/>
      <c r="EX54" s="19"/>
      <c r="EY54" s="19"/>
      <c r="EZ54" s="19"/>
      <c r="FA54" s="21">
        <f t="shared" si="54"/>
        <v>0</v>
      </c>
    </row>
    <row r="55" spans="3:157" hidden="1" x14ac:dyDescent="0.3">
      <c r="C55" s="18" t="s">
        <v>108</v>
      </c>
      <c r="E55" s="19"/>
      <c r="F55" s="19"/>
      <c r="G55" s="19"/>
      <c r="H55" s="19"/>
      <c r="I55" s="19"/>
      <c r="J55" s="19"/>
      <c r="K55" s="19"/>
      <c r="L55" s="19"/>
      <c r="M55" s="19"/>
      <c r="N55" s="19"/>
      <c r="O55" s="19"/>
      <c r="P55" s="19"/>
      <c r="Q55" s="21">
        <f t="shared" si="44"/>
        <v>0</v>
      </c>
      <c r="S55" s="19"/>
      <c r="T55" s="19"/>
      <c r="U55" s="19"/>
      <c r="V55" s="19"/>
      <c r="W55" s="19"/>
      <c r="X55" s="19"/>
      <c r="Y55" s="19"/>
      <c r="Z55" s="19"/>
      <c r="AA55" s="19"/>
      <c r="AB55" s="19"/>
      <c r="AC55" s="19"/>
      <c r="AD55" s="19"/>
      <c r="AE55" s="21">
        <f t="shared" si="45"/>
        <v>0</v>
      </c>
      <c r="AG55" s="19"/>
      <c r="AH55" s="19"/>
      <c r="AI55" s="19"/>
      <c r="AJ55" s="19"/>
      <c r="AK55" s="19"/>
      <c r="AL55" s="19"/>
      <c r="AM55" s="19"/>
      <c r="AN55" s="19"/>
      <c r="AO55" s="19"/>
      <c r="AP55" s="19"/>
      <c r="AQ55" s="19"/>
      <c r="AR55" s="19"/>
      <c r="AS55" s="21">
        <f t="shared" si="46"/>
        <v>0</v>
      </c>
      <c r="AU55" s="19"/>
      <c r="AV55" s="19"/>
      <c r="AW55" s="19"/>
      <c r="AX55" s="19"/>
      <c r="AY55" s="19"/>
      <c r="AZ55" s="19"/>
      <c r="BA55" s="19"/>
      <c r="BB55" s="19"/>
      <c r="BC55" s="19"/>
      <c r="BD55" s="19"/>
      <c r="BE55" s="19"/>
      <c r="BF55" s="19"/>
      <c r="BG55" s="21">
        <f t="shared" si="47"/>
        <v>0</v>
      </c>
      <c r="BI55" s="19"/>
      <c r="BJ55" s="19"/>
      <c r="BK55" s="19"/>
      <c r="BL55" s="19"/>
      <c r="BM55" s="19"/>
      <c r="BN55" s="19"/>
      <c r="BO55" s="19"/>
      <c r="BP55" s="19"/>
      <c r="BQ55" s="19"/>
      <c r="BR55" s="19"/>
      <c r="BS55" s="19"/>
      <c r="BT55" s="19"/>
      <c r="BU55" s="21">
        <f t="shared" si="48"/>
        <v>0</v>
      </c>
      <c r="BW55" s="19"/>
      <c r="BX55" s="19"/>
      <c r="BY55" s="19"/>
      <c r="BZ55" s="19"/>
      <c r="CA55" s="19"/>
      <c r="CB55" s="19"/>
      <c r="CC55" s="19"/>
      <c r="CD55" s="19"/>
      <c r="CE55" s="19"/>
      <c r="CF55" s="19"/>
      <c r="CG55" s="19"/>
      <c r="CH55" s="19"/>
      <c r="CI55" s="21">
        <f t="shared" si="49"/>
        <v>0</v>
      </c>
      <c r="CK55" s="19"/>
      <c r="CL55" s="19"/>
      <c r="CM55" s="19"/>
      <c r="CN55" s="19"/>
      <c r="CO55" s="19"/>
      <c r="CP55" s="19"/>
      <c r="CQ55" s="19"/>
      <c r="CR55" s="19"/>
      <c r="CS55" s="19"/>
      <c r="CT55" s="19"/>
      <c r="CU55" s="19"/>
      <c r="CV55" s="19"/>
      <c r="CW55" s="21">
        <f t="shared" si="50"/>
        <v>0</v>
      </c>
      <c r="CY55" s="19"/>
      <c r="CZ55" s="19"/>
      <c r="DA55" s="19"/>
      <c r="DB55" s="19"/>
      <c r="DC55" s="19"/>
      <c r="DD55" s="19"/>
      <c r="DE55" s="19"/>
      <c r="DF55" s="19"/>
      <c r="DG55" s="19"/>
      <c r="DH55" s="19"/>
      <c r="DI55" s="19"/>
      <c r="DJ55" s="19"/>
      <c r="DK55" s="21">
        <f t="shared" si="51"/>
        <v>0</v>
      </c>
      <c r="DM55" s="19"/>
      <c r="DN55" s="19"/>
      <c r="DO55" s="19"/>
      <c r="DP55" s="19"/>
      <c r="DQ55" s="19"/>
      <c r="DR55" s="19"/>
      <c r="DS55" s="19"/>
      <c r="DT55" s="19"/>
      <c r="DU55" s="19"/>
      <c r="DV55" s="19"/>
      <c r="DW55" s="19"/>
      <c r="DX55" s="19"/>
      <c r="DY55" s="21">
        <f t="shared" si="52"/>
        <v>0</v>
      </c>
      <c r="EA55" s="19"/>
      <c r="EB55" s="19"/>
      <c r="EC55" s="19"/>
      <c r="ED55" s="19"/>
      <c r="EE55" s="19"/>
      <c r="EF55" s="19"/>
      <c r="EG55" s="19"/>
      <c r="EH55" s="19"/>
      <c r="EI55" s="19"/>
      <c r="EJ55" s="19"/>
      <c r="EK55" s="19"/>
      <c r="EL55" s="19"/>
      <c r="EM55" s="21">
        <f t="shared" si="53"/>
        <v>0</v>
      </c>
      <c r="EO55" s="19"/>
      <c r="EP55" s="19"/>
      <c r="EQ55" s="19"/>
      <c r="ER55" s="19"/>
      <c r="ES55" s="19"/>
      <c r="ET55" s="19"/>
      <c r="EU55" s="19"/>
      <c r="EV55" s="19"/>
      <c r="EW55" s="19"/>
      <c r="EX55" s="19"/>
      <c r="EY55" s="19"/>
      <c r="EZ55" s="19"/>
      <c r="FA55" s="21">
        <f t="shared" si="54"/>
        <v>0</v>
      </c>
    </row>
    <row r="56" spans="3:157" hidden="1" x14ac:dyDescent="0.3">
      <c r="C56" s="18" t="s">
        <v>108</v>
      </c>
      <c r="E56" s="19"/>
      <c r="F56" s="19"/>
      <c r="G56" s="19"/>
      <c r="H56" s="19"/>
      <c r="I56" s="19"/>
      <c r="J56" s="19"/>
      <c r="K56" s="19"/>
      <c r="L56" s="19"/>
      <c r="M56" s="19"/>
      <c r="N56" s="19"/>
      <c r="O56" s="19"/>
      <c r="P56" s="19"/>
      <c r="Q56" s="21">
        <f t="shared" si="44"/>
        <v>0</v>
      </c>
      <c r="S56" s="19"/>
      <c r="T56" s="19"/>
      <c r="U56" s="19"/>
      <c r="V56" s="19"/>
      <c r="W56" s="19"/>
      <c r="X56" s="19"/>
      <c r="Y56" s="19"/>
      <c r="Z56" s="19"/>
      <c r="AA56" s="19"/>
      <c r="AB56" s="19"/>
      <c r="AC56" s="19"/>
      <c r="AD56" s="19"/>
      <c r="AE56" s="21">
        <f t="shared" si="45"/>
        <v>0</v>
      </c>
      <c r="AG56" s="19"/>
      <c r="AH56" s="19"/>
      <c r="AI56" s="19"/>
      <c r="AJ56" s="19"/>
      <c r="AK56" s="19"/>
      <c r="AL56" s="19"/>
      <c r="AM56" s="19"/>
      <c r="AN56" s="19"/>
      <c r="AO56" s="19"/>
      <c r="AP56" s="19"/>
      <c r="AQ56" s="19"/>
      <c r="AR56" s="19"/>
      <c r="AS56" s="21">
        <f t="shared" si="46"/>
        <v>0</v>
      </c>
      <c r="AU56" s="19"/>
      <c r="AV56" s="19"/>
      <c r="AW56" s="19"/>
      <c r="AX56" s="19"/>
      <c r="AY56" s="19"/>
      <c r="AZ56" s="19"/>
      <c r="BA56" s="19"/>
      <c r="BB56" s="19"/>
      <c r="BC56" s="19"/>
      <c r="BD56" s="19"/>
      <c r="BE56" s="19"/>
      <c r="BF56" s="19"/>
      <c r="BG56" s="21">
        <f t="shared" si="47"/>
        <v>0</v>
      </c>
      <c r="BI56" s="19"/>
      <c r="BJ56" s="19"/>
      <c r="BK56" s="19"/>
      <c r="BL56" s="19"/>
      <c r="BM56" s="19"/>
      <c r="BN56" s="19"/>
      <c r="BO56" s="19"/>
      <c r="BP56" s="19"/>
      <c r="BQ56" s="19"/>
      <c r="BR56" s="19"/>
      <c r="BS56" s="19"/>
      <c r="BT56" s="19"/>
      <c r="BU56" s="21">
        <f t="shared" si="48"/>
        <v>0</v>
      </c>
      <c r="BW56" s="19"/>
      <c r="BX56" s="19"/>
      <c r="BY56" s="19"/>
      <c r="BZ56" s="19"/>
      <c r="CA56" s="19"/>
      <c r="CB56" s="19"/>
      <c r="CC56" s="19"/>
      <c r="CD56" s="19"/>
      <c r="CE56" s="19"/>
      <c r="CF56" s="19"/>
      <c r="CG56" s="19"/>
      <c r="CH56" s="19"/>
      <c r="CI56" s="21">
        <f t="shared" si="49"/>
        <v>0</v>
      </c>
      <c r="CK56" s="19"/>
      <c r="CL56" s="19"/>
      <c r="CM56" s="19"/>
      <c r="CN56" s="19"/>
      <c r="CO56" s="19"/>
      <c r="CP56" s="19"/>
      <c r="CQ56" s="19"/>
      <c r="CR56" s="19"/>
      <c r="CS56" s="19"/>
      <c r="CT56" s="19"/>
      <c r="CU56" s="19"/>
      <c r="CV56" s="19"/>
      <c r="CW56" s="21">
        <f t="shared" si="50"/>
        <v>0</v>
      </c>
      <c r="CY56" s="19"/>
      <c r="CZ56" s="19"/>
      <c r="DA56" s="19"/>
      <c r="DB56" s="19"/>
      <c r="DC56" s="19"/>
      <c r="DD56" s="19"/>
      <c r="DE56" s="19"/>
      <c r="DF56" s="19"/>
      <c r="DG56" s="19"/>
      <c r="DH56" s="19"/>
      <c r="DI56" s="19"/>
      <c r="DJ56" s="19"/>
      <c r="DK56" s="21">
        <f t="shared" si="51"/>
        <v>0</v>
      </c>
      <c r="DM56" s="19"/>
      <c r="DN56" s="19"/>
      <c r="DO56" s="19"/>
      <c r="DP56" s="19"/>
      <c r="DQ56" s="19"/>
      <c r="DR56" s="19"/>
      <c r="DS56" s="19"/>
      <c r="DT56" s="19"/>
      <c r="DU56" s="19"/>
      <c r="DV56" s="19"/>
      <c r="DW56" s="19"/>
      <c r="DX56" s="19"/>
      <c r="DY56" s="21">
        <f t="shared" si="52"/>
        <v>0</v>
      </c>
      <c r="EA56" s="19"/>
      <c r="EB56" s="19"/>
      <c r="EC56" s="19"/>
      <c r="ED56" s="19"/>
      <c r="EE56" s="19"/>
      <c r="EF56" s="19"/>
      <c r="EG56" s="19"/>
      <c r="EH56" s="19"/>
      <c r="EI56" s="19"/>
      <c r="EJ56" s="19"/>
      <c r="EK56" s="19"/>
      <c r="EL56" s="19"/>
      <c r="EM56" s="21">
        <f t="shared" si="53"/>
        <v>0</v>
      </c>
      <c r="EO56" s="19"/>
      <c r="EP56" s="19"/>
      <c r="EQ56" s="19"/>
      <c r="ER56" s="19"/>
      <c r="ES56" s="19"/>
      <c r="ET56" s="19"/>
      <c r="EU56" s="19"/>
      <c r="EV56" s="19"/>
      <c r="EW56" s="19"/>
      <c r="EX56" s="19"/>
      <c r="EY56" s="19"/>
      <c r="EZ56" s="19"/>
      <c r="FA56" s="21">
        <f t="shared" si="54"/>
        <v>0</v>
      </c>
    </row>
    <row r="57" spans="3:157" hidden="1" x14ac:dyDescent="0.3">
      <c r="C57" s="18" t="s">
        <v>108</v>
      </c>
      <c r="E57" s="19"/>
      <c r="F57" s="19"/>
      <c r="G57" s="19"/>
      <c r="H57" s="19"/>
      <c r="I57" s="19"/>
      <c r="J57" s="19"/>
      <c r="K57" s="19"/>
      <c r="L57" s="19"/>
      <c r="M57" s="19"/>
      <c r="N57" s="19"/>
      <c r="O57" s="19"/>
      <c r="P57" s="19"/>
      <c r="Q57" s="21">
        <f t="shared" si="44"/>
        <v>0</v>
      </c>
      <c r="S57" s="19"/>
      <c r="T57" s="19"/>
      <c r="U57" s="19"/>
      <c r="V57" s="19"/>
      <c r="W57" s="19"/>
      <c r="X57" s="19"/>
      <c r="Y57" s="19"/>
      <c r="Z57" s="19"/>
      <c r="AA57" s="19"/>
      <c r="AB57" s="19"/>
      <c r="AC57" s="19"/>
      <c r="AD57" s="19"/>
      <c r="AE57" s="21">
        <f t="shared" si="45"/>
        <v>0</v>
      </c>
      <c r="AG57" s="19"/>
      <c r="AH57" s="19"/>
      <c r="AI57" s="19"/>
      <c r="AJ57" s="19"/>
      <c r="AK57" s="19"/>
      <c r="AL57" s="19"/>
      <c r="AM57" s="19"/>
      <c r="AN57" s="19"/>
      <c r="AO57" s="19"/>
      <c r="AP57" s="19"/>
      <c r="AQ57" s="19"/>
      <c r="AR57" s="19"/>
      <c r="AS57" s="21">
        <f t="shared" si="46"/>
        <v>0</v>
      </c>
      <c r="AU57" s="19"/>
      <c r="AV57" s="19"/>
      <c r="AW57" s="19"/>
      <c r="AX57" s="19"/>
      <c r="AY57" s="19"/>
      <c r="AZ57" s="19"/>
      <c r="BA57" s="19"/>
      <c r="BB57" s="19"/>
      <c r="BC57" s="19"/>
      <c r="BD57" s="19"/>
      <c r="BE57" s="19"/>
      <c r="BF57" s="19"/>
      <c r="BG57" s="21">
        <f t="shared" si="47"/>
        <v>0</v>
      </c>
      <c r="BI57" s="19"/>
      <c r="BJ57" s="19"/>
      <c r="BK57" s="19"/>
      <c r="BL57" s="19"/>
      <c r="BM57" s="19"/>
      <c r="BN57" s="19"/>
      <c r="BO57" s="19"/>
      <c r="BP57" s="19"/>
      <c r="BQ57" s="19"/>
      <c r="BR57" s="19"/>
      <c r="BS57" s="19"/>
      <c r="BT57" s="19"/>
      <c r="BU57" s="21">
        <f t="shared" si="48"/>
        <v>0</v>
      </c>
      <c r="BW57" s="19"/>
      <c r="BX57" s="19"/>
      <c r="BY57" s="19"/>
      <c r="BZ57" s="19"/>
      <c r="CA57" s="19"/>
      <c r="CB57" s="19"/>
      <c r="CC57" s="19"/>
      <c r="CD57" s="19"/>
      <c r="CE57" s="19"/>
      <c r="CF57" s="19"/>
      <c r="CG57" s="19"/>
      <c r="CH57" s="19"/>
      <c r="CI57" s="21">
        <f t="shared" si="49"/>
        <v>0</v>
      </c>
      <c r="CK57" s="19"/>
      <c r="CL57" s="19"/>
      <c r="CM57" s="19"/>
      <c r="CN57" s="19"/>
      <c r="CO57" s="19"/>
      <c r="CP57" s="19"/>
      <c r="CQ57" s="19"/>
      <c r="CR57" s="19"/>
      <c r="CS57" s="19"/>
      <c r="CT57" s="19"/>
      <c r="CU57" s="19"/>
      <c r="CV57" s="19"/>
      <c r="CW57" s="21">
        <f t="shared" si="50"/>
        <v>0</v>
      </c>
      <c r="CY57" s="19"/>
      <c r="CZ57" s="19"/>
      <c r="DA57" s="19"/>
      <c r="DB57" s="19"/>
      <c r="DC57" s="19"/>
      <c r="DD57" s="19"/>
      <c r="DE57" s="19"/>
      <c r="DF57" s="19"/>
      <c r="DG57" s="19"/>
      <c r="DH57" s="19"/>
      <c r="DI57" s="19"/>
      <c r="DJ57" s="19"/>
      <c r="DK57" s="21">
        <f t="shared" si="51"/>
        <v>0</v>
      </c>
      <c r="DM57" s="19"/>
      <c r="DN57" s="19"/>
      <c r="DO57" s="19"/>
      <c r="DP57" s="19"/>
      <c r="DQ57" s="19"/>
      <c r="DR57" s="19"/>
      <c r="DS57" s="19"/>
      <c r="DT57" s="19"/>
      <c r="DU57" s="19"/>
      <c r="DV57" s="19"/>
      <c r="DW57" s="19"/>
      <c r="DX57" s="19"/>
      <c r="DY57" s="21">
        <f t="shared" si="52"/>
        <v>0</v>
      </c>
      <c r="EA57" s="19"/>
      <c r="EB57" s="19"/>
      <c r="EC57" s="19"/>
      <c r="ED57" s="19"/>
      <c r="EE57" s="19"/>
      <c r="EF57" s="19"/>
      <c r="EG57" s="19"/>
      <c r="EH57" s="19"/>
      <c r="EI57" s="19"/>
      <c r="EJ57" s="19"/>
      <c r="EK57" s="19"/>
      <c r="EL57" s="19"/>
      <c r="EM57" s="21">
        <f t="shared" si="53"/>
        <v>0</v>
      </c>
      <c r="EO57" s="19"/>
      <c r="EP57" s="19"/>
      <c r="EQ57" s="19"/>
      <c r="ER57" s="19"/>
      <c r="ES57" s="19"/>
      <c r="ET57" s="19"/>
      <c r="EU57" s="19"/>
      <c r="EV57" s="19"/>
      <c r="EW57" s="19"/>
      <c r="EX57" s="19"/>
      <c r="EY57" s="19"/>
      <c r="EZ57" s="19"/>
      <c r="FA57" s="21">
        <f t="shared" si="54"/>
        <v>0</v>
      </c>
    </row>
    <row r="58" spans="3:157" hidden="1" x14ac:dyDescent="0.3">
      <c r="C58" s="18" t="s">
        <v>108</v>
      </c>
      <c r="E58" s="19"/>
      <c r="F58" s="19"/>
      <c r="G58" s="19"/>
      <c r="H58" s="19"/>
      <c r="I58" s="19"/>
      <c r="J58" s="19"/>
      <c r="K58" s="19"/>
      <c r="L58" s="19"/>
      <c r="M58" s="19"/>
      <c r="N58" s="19"/>
      <c r="O58" s="19"/>
      <c r="P58" s="19"/>
      <c r="Q58" s="21">
        <f t="shared" si="44"/>
        <v>0</v>
      </c>
      <c r="S58" s="19"/>
      <c r="T58" s="19"/>
      <c r="U58" s="19"/>
      <c r="V58" s="19"/>
      <c r="W58" s="19"/>
      <c r="X58" s="19"/>
      <c r="Y58" s="19"/>
      <c r="Z58" s="19"/>
      <c r="AA58" s="19"/>
      <c r="AB58" s="19"/>
      <c r="AC58" s="19"/>
      <c r="AD58" s="19"/>
      <c r="AE58" s="21">
        <f t="shared" si="45"/>
        <v>0</v>
      </c>
      <c r="AG58" s="19"/>
      <c r="AH58" s="19"/>
      <c r="AI58" s="19"/>
      <c r="AJ58" s="19"/>
      <c r="AK58" s="19"/>
      <c r="AL58" s="19"/>
      <c r="AM58" s="19"/>
      <c r="AN58" s="19"/>
      <c r="AO58" s="19"/>
      <c r="AP58" s="19"/>
      <c r="AQ58" s="19"/>
      <c r="AR58" s="19"/>
      <c r="AS58" s="21">
        <f t="shared" si="46"/>
        <v>0</v>
      </c>
      <c r="AU58" s="19"/>
      <c r="AV58" s="19"/>
      <c r="AW58" s="19"/>
      <c r="AX58" s="19"/>
      <c r="AY58" s="19"/>
      <c r="AZ58" s="19"/>
      <c r="BA58" s="19"/>
      <c r="BB58" s="19"/>
      <c r="BC58" s="19"/>
      <c r="BD58" s="19"/>
      <c r="BE58" s="19"/>
      <c r="BF58" s="19"/>
      <c r="BG58" s="21">
        <f t="shared" si="47"/>
        <v>0</v>
      </c>
      <c r="BI58" s="19"/>
      <c r="BJ58" s="19"/>
      <c r="BK58" s="19"/>
      <c r="BL58" s="19"/>
      <c r="BM58" s="19"/>
      <c r="BN58" s="19"/>
      <c r="BO58" s="19"/>
      <c r="BP58" s="19"/>
      <c r="BQ58" s="19"/>
      <c r="BR58" s="19"/>
      <c r="BS58" s="19"/>
      <c r="BT58" s="19"/>
      <c r="BU58" s="21">
        <f t="shared" si="48"/>
        <v>0</v>
      </c>
      <c r="BW58" s="19"/>
      <c r="BX58" s="19"/>
      <c r="BY58" s="19"/>
      <c r="BZ58" s="19"/>
      <c r="CA58" s="19"/>
      <c r="CB58" s="19"/>
      <c r="CC58" s="19"/>
      <c r="CD58" s="19"/>
      <c r="CE58" s="19"/>
      <c r="CF58" s="19"/>
      <c r="CG58" s="19"/>
      <c r="CH58" s="19"/>
      <c r="CI58" s="21">
        <f t="shared" si="49"/>
        <v>0</v>
      </c>
      <c r="CK58" s="19"/>
      <c r="CL58" s="19"/>
      <c r="CM58" s="19"/>
      <c r="CN58" s="19"/>
      <c r="CO58" s="19"/>
      <c r="CP58" s="19"/>
      <c r="CQ58" s="19"/>
      <c r="CR58" s="19"/>
      <c r="CS58" s="19"/>
      <c r="CT58" s="19"/>
      <c r="CU58" s="19"/>
      <c r="CV58" s="19"/>
      <c r="CW58" s="21">
        <f t="shared" si="50"/>
        <v>0</v>
      </c>
      <c r="CY58" s="19"/>
      <c r="CZ58" s="19"/>
      <c r="DA58" s="19"/>
      <c r="DB58" s="19"/>
      <c r="DC58" s="19"/>
      <c r="DD58" s="19"/>
      <c r="DE58" s="19"/>
      <c r="DF58" s="19"/>
      <c r="DG58" s="19"/>
      <c r="DH58" s="19"/>
      <c r="DI58" s="19"/>
      <c r="DJ58" s="19"/>
      <c r="DK58" s="21">
        <f t="shared" si="51"/>
        <v>0</v>
      </c>
      <c r="DM58" s="19"/>
      <c r="DN58" s="19"/>
      <c r="DO58" s="19"/>
      <c r="DP58" s="19"/>
      <c r="DQ58" s="19"/>
      <c r="DR58" s="19"/>
      <c r="DS58" s="19"/>
      <c r="DT58" s="19"/>
      <c r="DU58" s="19"/>
      <c r="DV58" s="19"/>
      <c r="DW58" s="19"/>
      <c r="DX58" s="19"/>
      <c r="DY58" s="21">
        <f t="shared" si="52"/>
        <v>0</v>
      </c>
      <c r="EA58" s="19"/>
      <c r="EB58" s="19"/>
      <c r="EC58" s="19"/>
      <c r="ED58" s="19"/>
      <c r="EE58" s="19"/>
      <c r="EF58" s="19"/>
      <c r="EG58" s="19"/>
      <c r="EH58" s="19"/>
      <c r="EI58" s="19"/>
      <c r="EJ58" s="19"/>
      <c r="EK58" s="19"/>
      <c r="EL58" s="19"/>
      <c r="EM58" s="21">
        <f t="shared" si="53"/>
        <v>0</v>
      </c>
      <c r="EO58" s="19"/>
      <c r="EP58" s="19"/>
      <c r="EQ58" s="19"/>
      <c r="ER58" s="19"/>
      <c r="ES58" s="19"/>
      <c r="ET58" s="19"/>
      <c r="EU58" s="19"/>
      <c r="EV58" s="19"/>
      <c r="EW58" s="19"/>
      <c r="EX58" s="19"/>
      <c r="EY58" s="19"/>
      <c r="EZ58" s="19"/>
      <c r="FA58" s="21">
        <f t="shared" si="54"/>
        <v>0</v>
      </c>
    </row>
    <row r="59" spans="3:157" x14ac:dyDescent="0.3">
      <c r="C59" s="17" t="s">
        <v>54</v>
      </c>
      <c r="E59" s="20">
        <f t="array" aca="1" ref="E59" ca="1">SUM(INDIRECT(ADDRESS(investment_min_row,COLUMN()) &amp; ":" &amp; ADDRESS(investment_max_row, COLUMN())))</f>
        <v>500</v>
      </c>
      <c r="F59" s="20">
        <f t="array" aca="1" ref="F59" ca="1">SUM(INDIRECT(ADDRESS(investment_min_row,COLUMN()) &amp; ":" &amp; ADDRESS(investment_max_row, COLUMN())))</f>
        <v>500</v>
      </c>
      <c r="G59" s="20">
        <f t="array" aca="1" ref="G59" ca="1">SUM(INDIRECT(ADDRESS(investment_min_row,COLUMN()) &amp; ":" &amp; ADDRESS(investment_max_row, COLUMN())))</f>
        <v>500</v>
      </c>
      <c r="H59" s="20">
        <f t="array" aca="1" ref="H59" ca="1">SUM(INDIRECT(ADDRESS(investment_min_row,COLUMN()) &amp; ":" &amp; ADDRESS(investment_max_row, COLUMN())))</f>
        <v>500</v>
      </c>
      <c r="I59" s="20">
        <f t="array" aca="1" ref="I59" ca="1">SUM(INDIRECT(ADDRESS(investment_min_row,COLUMN()) &amp; ":" &amp; ADDRESS(investment_max_row, COLUMN())))</f>
        <v>500</v>
      </c>
      <c r="J59" s="20">
        <f t="array" aca="1" ref="J59" ca="1">SUM(INDIRECT(ADDRESS(investment_min_row,COLUMN()) &amp; ":" &amp; ADDRESS(investment_max_row, COLUMN())))</f>
        <v>500</v>
      </c>
      <c r="K59" s="20">
        <f t="array" aca="1" ref="K59" ca="1">SUM(INDIRECT(ADDRESS(investment_min_row,COLUMN()) &amp; ":" &amp; ADDRESS(investment_max_row, COLUMN())))</f>
        <v>500</v>
      </c>
      <c r="L59" s="20">
        <f t="array" aca="1" ref="L59" ca="1">SUM(INDIRECT(ADDRESS(investment_min_row,COLUMN()) &amp; ":" &amp; ADDRESS(investment_max_row, COLUMN())))</f>
        <v>500</v>
      </c>
      <c r="M59" s="20">
        <f t="array" aca="1" ref="M59" ca="1">SUM(INDIRECT(ADDRESS(investment_min_row,COLUMN()) &amp; ":" &amp; ADDRESS(investment_max_row, COLUMN())))</f>
        <v>500</v>
      </c>
      <c r="N59" s="20">
        <f t="array" aca="1" ref="N59" ca="1">SUM(INDIRECT(ADDRESS(investment_min_row,COLUMN()) &amp; ":" &amp; ADDRESS(investment_max_row, COLUMN())))</f>
        <v>500</v>
      </c>
      <c r="O59" s="20">
        <f t="array" aca="1" ref="O59" ca="1">SUM(INDIRECT(ADDRESS(investment_min_row,COLUMN()) &amp; ":" &amp; ADDRESS(investment_max_row, COLUMN())))</f>
        <v>500</v>
      </c>
      <c r="P59" s="20">
        <f t="array" aca="1" ref="P59" ca="1">SUM(INDIRECT(ADDRESS(investment_min_row,COLUMN()) &amp; ":" &amp; ADDRESS(investment_max_row, COLUMN())))</f>
        <v>500</v>
      </c>
      <c r="Q59" s="20">
        <f t="array" aca="1" ref="Q59" ca="1">SUM(INDIRECT(ADDRESS(investment_min_row,COLUMN()) &amp; ":" &amp; ADDRESS(investment_max_row, COLUMN())))</f>
        <v>6000</v>
      </c>
      <c r="S59" s="20">
        <f t="array" aca="1" ref="S59" ca="1">SUM(INDIRECT(ADDRESS(investment_min_row,COLUMN()) &amp; ":" &amp; ADDRESS(investment_max_row, COLUMN())))</f>
        <v>0</v>
      </c>
      <c r="T59" s="20">
        <f t="array" aca="1" ref="T59" ca="1">SUM(INDIRECT(ADDRESS(investment_min_row,COLUMN()) &amp; ":" &amp; ADDRESS(investment_max_row, COLUMN())))</f>
        <v>0</v>
      </c>
      <c r="U59" s="20">
        <f t="array" aca="1" ref="U59" ca="1">SUM(INDIRECT(ADDRESS(investment_min_row,COLUMN()) &amp; ":" &amp; ADDRESS(investment_max_row, COLUMN())))</f>
        <v>0</v>
      </c>
      <c r="V59" s="20">
        <f t="array" aca="1" ref="V59" ca="1">SUM(INDIRECT(ADDRESS(investment_min_row,COLUMN()) &amp; ":" &amp; ADDRESS(investment_max_row, COLUMN())))</f>
        <v>0</v>
      </c>
      <c r="W59" s="20">
        <f t="array" aca="1" ref="W59" ca="1">SUM(INDIRECT(ADDRESS(investment_min_row,COLUMN()) &amp; ":" &amp; ADDRESS(investment_max_row, COLUMN())))</f>
        <v>0</v>
      </c>
      <c r="X59" s="20">
        <f t="array" aca="1" ref="X59" ca="1">SUM(INDIRECT(ADDRESS(investment_min_row,COLUMN()) &amp; ":" &amp; ADDRESS(investment_max_row, COLUMN())))</f>
        <v>0</v>
      </c>
      <c r="Y59" s="20">
        <f t="array" aca="1" ref="Y59" ca="1">SUM(INDIRECT(ADDRESS(investment_min_row,COLUMN()) &amp; ":" &amp; ADDRESS(investment_max_row, COLUMN())))</f>
        <v>0</v>
      </c>
      <c r="Z59" s="20">
        <f t="array" aca="1" ref="Z59" ca="1">SUM(INDIRECT(ADDRESS(investment_min_row,COLUMN()) &amp; ":" &amp; ADDRESS(investment_max_row, COLUMN())))</f>
        <v>0</v>
      </c>
      <c r="AA59" s="20">
        <f t="array" aca="1" ref="AA59" ca="1">SUM(INDIRECT(ADDRESS(investment_min_row,COLUMN()) &amp; ":" &amp; ADDRESS(investment_max_row, COLUMN())))</f>
        <v>0</v>
      </c>
      <c r="AB59" s="20">
        <f t="array" aca="1" ref="AB59" ca="1">SUM(INDIRECT(ADDRESS(investment_min_row,COLUMN()) &amp; ":" &amp; ADDRESS(investment_max_row, COLUMN())))</f>
        <v>0</v>
      </c>
      <c r="AC59" s="20">
        <f t="array" aca="1" ref="AC59" ca="1">SUM(INDIRECT(ADDRESS(investment_min_row,COLUMN()) &amp; ":" &amp; ADDRESS(investment_max_row, COLUMN())))</f>
        <v>0</v>
      </c>
      <c r="AD59" s="20">
        <f t="array" aca="1" ref="AD59" ca="1">SUM(INDIRECT(ADDRESS(investment_min_row,COLUMN()) &amp; ":" &amp; ADDRESS(investment_max_row, COLUMN())))</f>
        <v>0</v>
      </c>
      <c r="AE59" s="20">
        <f t="array" aca="1" ref="AE59" ca="1">SUM(INDIRECT(ADDRESS(investment_min_row,COLUMN()) &amp; ":" &amp; ADDRESS(investment_max_row, COLUMN())))</f>
        <v>0</v>
      </c>
      <c r="AG59" s="20">
        <f t="array" aca="1" ref="AG59" ca="1">SUM(INDIRECT(ADDRESS(investment_min_row,COLUMN()) &amp; ":" &amp; ADDRESS(investment_max_row, COLUMN())))</f>
        <v>0</v>
      </c>
      <c r="AH59" s="20">
        <f t="array" aca="1" ref="AH59" ca="1">SUM(INDIRECT(ADDRESS(investment_min_row,COLUMN()) &amp; ":" &amp; ADDRESS(investment_max_row, COLUMN())))</f>
        <v>0</v>
      </c>
      <c r="AI59" s="20">
        <f t="array" aca="1" ref="AI59" ca="1">SUM(INDIRECT(ADDRESS(investment_min_row,COLUMN()) &amp; ":" &amp; ADDRESS(investment_max_row, COLUMN())))</f>
        <v>0</v>
      </c>
      <c r="AJ59" s="20">
        <f t="array" aca="1" ref="AJ59" ca="1">SUM(INDIRECT(ADDRESS(investment_min_row,COLUMN()) &amp; ":" &amp; ADDRESS(investment_max_row, COLUMN())))</f>
        <v>0</v>
      </c>
      <c r="AK59" s="20">
        <f t="array" aca="1" ref="AK59" ca="1">SUM(INDIRECT(ADDRESS(investment_min_row,COLUMN()) &amp; ":" &amp; ADDRESS(investment_max_row, COLUMN())))</f>
        <v>0</v>
      </c>
      <c r="AL59" s="20">
        <f t="array" aca="1" ref="AL59" ca="1">SUM(INDIRECT(ADDRESS(investment_min_row,COLUMN()) &amp; ":" &amp; ADDRESS(investment_max_row, COLUMN())))</f>
        <v>0</v>
      </c>
      <c r="AM59" s="20">
        <f t="array" aca="1" ref="AM59" ca="1">SUM(INDIRECT(ADDRESS(investment_min_row,COLUMN()) &amp; ":" &amp; ADDRESS(investment_max_row, COLUMN())))</f>
        <v>0</v>
      </c>
      <c r="AN59" s="20">
        <f t="array" aca="1" ref="AN59" ca="1">SUM(INDIRECT(ADDRESS(investment_min_row,COLUMN()) &amp; ":" &amp; ADDRESS(investment_max_row, COLUMN())))</f>
        <v>0</v>
      </c>
      <c r="AO59" s="20">
        <f t="array" aca="1" ref="AO59" ca="1">SUM(INDIRECT(ADDRESS(investment_min_row,COLUMN()) &amp; ":" &amp; ADDRESS(investment_max_row, COLUMN())))</f>
        <v>0</v>
      </c>
      <c r="AP59" s="20">
        <f t="array" aca="1" ref="AP59" ca="1">SUM(INDIRECT(ADDRESS(investment_min_row,COLUMN()) &amp; ":" &amp; ADDRESS(investment_max_row, COLUMN())))</f>
        <v>0</v>
      </c>
      <c r="AQ59" s="20">
        <f t="array" aca="1" ref="AQ59" ca="1">SUM(INDIRECT(ADDRESS(investment_min_row,COLUMN()) &amp; ":" &amp; ADDRESS(investment_max_row, COLUMN())))</f>
        <v>0</v>
      </c>
      <c r="AR59" s="20">
        <f t="array" aca="1" ref="AR59" ca="1">SUM(INDIRECT(ADDRESS(investment_min_row,COLUMN()) &amp; ":" &amp; ADDRESS(investment_max_row, COLUMN())))</f>
        <v>0</v>
      </c>
      <c r="AS59" s="20">
        <f t="array" aca="1" ref="AS59" ca="1">SUM(INDIRECT(ADDRESS(investment_min_row,COLUMN()) &amp; ":" &amp; ADDRESS(investment_max_row, COLUMN())))</f>
        <v>0</v>
      </c>
      <c r="AU59" s="20">
        <f t="array" aca="1" ref="AU59" ca="1">SUM(INDIRECT(ADDRESS(investment_min_row,COLUMN()) &amp; ":" &amp; ADDRESS(investment_max_row, COLUMN())))</f>
        <v>0</v>
      </c>
      <c r="AV59" s="20">
        <f t="array" aca="1" ref="AV59" ca="1">SUM(INDIRECT(ADDRESS(investment_min_row,COLUMN()) &amp; ":" &amp; ADDRESS(investment_max_row, COLUMN())))</f>
        <v>0</v>
      </c>
      <c r="AW59" s="20">
        <f t="array" aca="1" ref="AW59" ca="1">SUM(INDIRECT(ADDRESS(investment_min_row,COLUMN()) &amp; ":" &amp; ADDRESS(investment_max_row, COLUMN())))</f>
        <v>0</v>
      </c>
      <c r="AX59" s="20">
        <f t="array" aca="1" ref="AX59" ca="1">SUM(INDIRECT(ADDRESS(investment_min_row,COLUMN()) &amp; ":" &amp; ADDRESS(investment_max_row, COLUMN())))</f>
        <v>0</v>
      </c>
      <c r="AY59" s="20">
        <f t="array" aca="1" ref="AY59" ca="1">SUM(INDIRECT(ADDRESS(investment_min_row,COLUMN()) &amp; ":" &amp; ADDRESS(investment_max_row, COLUMN())))</f>
        <v>0</v>
      </c>
      <c r="AZ59" s="20">
        <f t="array" aca="1" ref="AZ59" ca="1">SUM(INDIRECT(ADDRESS(investment_min_row,COLUMN()) &amp; ":" &amp; ADDRESS(investment_max_row, COLUMN())))</f>
        <v>0</v>
      </c>
      <c r="BA59" s="20">
        <f t="array" aca="1" ref="BA59" ca="1">SUM(INDIRECT(ADDRESS(investment_min_row,COLUMN()) &amp; ":" &amp; ADDRESS(investment_max_row, COLUMN())))</f>
        <v>0</v>
      </c>
      <c r="BB59" s="20">
        <f t="array" aca="1" ref="BB59" ca="1">SUM(INDIRECT(ADDRESS(investment_min_row,COLUMN()) &amp; ":" &amp; ADDRESS(investment_max_row, COLUMN())))</f>
        <v>0</v>
      </c>
      <c r="BC59" s="20">
        <f t="array" aca="1" ref="BC59" ca="1">SUM(INDIRECT(ADDRESS(investment_min_row,COLUMN()) &amp; ":" &amp; ADDRESS(investment_max_row, COLUMN())))</f>
        <v>0</v>
      </c>
      <c r="BD59" s="20">
        <f t="array" aca="1" ref="BD59" ca="1">SUM(INDIRECT(ADDRESS(investment_min_row,COLUMN()) &amp; ":" &amp; ADDRESS(investment_max_row, COLUMN())))</f>
        <v>0</v>
      </c>
      <c r="BE59" s="20">
        <f t="array" aca="1" ref="BE59" ca="1">SUM(INDIRECT(ADDRESS(investment_min_row,COLUMN()) &amp; ":" &amp; ADDRESS(investment_max_row, COLUMN())))</f>
        <v>0</v>
      </c>
      <c r="BF59" s="20">
        <f t="array" aca="1" ref="BF59" ca="1">SUM(INDIRECT(ADDRESS(investment_min_row,COLUMN()) &amp; ":" &amp; ADDRESS(investment_max_row, COLUMN())))</f>
        <v>0</v>
      </c>
      <c r="BG59" s="20">
        <f t="array" aca="1" ref="BG59" ca="1">SUM(INDIRECT(ADDRESS(investment_min_row,COLUMN()) &amp; ":" &amp; ADDRESS(investment_max_row, COLUMN())))</f>
        <v>0</v>
      </c>
      <c r="BI59" s="20">
        <f t="array" aca="1" ref="BI59" ca="1">SUM(INDIRECT(ADDRESS(investment_min_row,COLUMN()) &amp; ":" &amp; ADDRESS(investment_max_row, COLUMN())))</f>
        <v>0</v>
      </c>
      <c r="BJ59" s="20">
        <f t="array" aca="1" ref="BJ59" ca="1">SUM(INDIRECT(ADDRESS(investment_min_row,COLUMN()) &amp; ":" &amp; ADDRESS(investment_max_row, COLUMN())))</f>
        <v>0</v>
      </c>
      <c r="BK59" s="20">
        <f t="array" aca="1" ref="BK59" ca="1">SUM(INDIRECT(ADDRESS(investment_min_row,COLUMN()) &amp; ":" &amp; ADDRESS(investment_max_row, COLUMN())))</f>
        <v>0</v>
      </c>
      <c r="BL59" s="20">
        <f t="array" aca="1" ref="BL59" ca="1">SUM(INDIRECT(ADDRESS(investment_min_row,COLUMN()) &amp; ":" &amp; ADDRESS(investment_max_row, COLUMN())))</f>
        <v>0</v>
      </c>
      <c r="BM59" s="20">
        <f t="array" aca="1" ref="BM59" ca="1">SUM(INDIRECT(ADDRESS(investment_min_row,COLUMN()) &amp; ":" &amp; ADDRESS(investment_max_row, COLUMN())))</f>
        <v>0</v>
      </c>
      <c r="BN59" s="20">
        <f t="array" aca="1" ref="BN59" ca="1">SUM(INDIRECT(ADDRESS(investment_min_row,COLUMN()) &amp; ":" &amp; ADDRESS(investment_max_row, COLUMN())))</f>
        <v>0</v>
      </c>
      <c r="BO59" s="20">
        <f t="array" aca="1" ref="BO59" ca="1">SUM(INDIRECT(ADDRESS(investment_min_row,COLUMN()) &amp; ":" &amp; ADDRESS(investment_max_row, COLUMN())))</f>
        <v>0</v>
      </c>
      <c r="BP59" s="20">
        <f t="array" aca="1" ref="BP59" ca="1">SUM(INDIRECT(ADDRESS(investment_min_row,COLUMN()) &amp; ":" &amp; ADDRESS(investment_max_row, COLUMN())))</f>
        <v>0</v>
      </c>
      <c r="BQ59" s="20">
        <f t="array" aca="1" ref="BQ59" ca="1">SUM(INDIRECT(ADDRESS(investment_min_row,COLUMN()) &amp; ":" &amp; ADDRESS(investment_max_row, COLUMN())))</f>
        <v>0</v>
      </c>
      <c r="BR59" s="20">
        <f t="array" aca="1" ref="BR59" ca="1">SUM(INDIRECT(ADDRESS(investment_min_row,COLUMN()) &amp; ":" &amp; ADDRESS(investment_max_row, COLUMN())))</f>
        <v>0</v>
      </c>
      <c r="BS59" s="20">
        <f t="array" aca="1" ref="BS59" ca="1">SUM(INDIRECT(ADDRESS(investment_min_row,COLUMN()) &amp; ":" &amp; ADDRESS(investment_max_row, COLUMN())))</f>
        <v>0</v>
      </c>
      <c r="BT59" s="20">
        <f t="array" aca="1" ref="BT59" ca="1">SUM(INDIRECT(ADDRESS(investment_min_row,COLUMN()) &amp; ":" &amp; ADDRESS(investment_max_row, COLUMN())))</f>
        <v>0</v>
      </c>
      <c r="BU59" s="20">
        <f t="array" aca="1" ref="BU59" ca="1">SUM(INDIRECT(ADDRESS(investment_min_row,COLUMN()) &amp; ":" &amp; ADDRESS(investment_max_row, COLUMN())))</f>
        <v>0</v>
      </c>
      <c r="BW59" s="20">
        <f t="array" aca="1" ref="BW59" ca="1">SUM(INDIRECT(ADDRESS(investment_min_row,COLUMN()) &amp; ":" &amp; ADDRESS(investment_max_row, COLUMN())))</f>
        <v>0</v>
      </c>
      <c r="BX59" s="20">
        <f t="array" aca="1" ref="BX59" ca="1">SUM(INDIRECT(ADDRESS(investment_min_row,COLUMN()) &amp; ":" &amp; ADDRESS(investment_max_row, COLUMN())))</f>
        <v>0</v>
      </c>
      <c r="BY59" s="20">
        <f t="array" aca="1" ref="BY59" ca="1">SUM(INDIRECT(ADDRESS(investment_min_row,COLUMN()) &amp; ":" &amp; ADDRESS(investment_max_row, COLUMN())))</f>
        <v>0</v>
      </c>
      <c r="BZ59" s="20">
        <f t="array" aca="1" ref="BZ59" ca="1">SUM(INDIRECT(ADDRESS(investment_min_row,COLUMN()) &amp; ":" &amp; ADDRESS(investment_max_row, COLUMN())))</f>
        <v>0</v>
      </c>
      <c r="CA59" s="20">
        <f t="array" aca="1" ref="CA59" ca="1">SUM(INDIRECT(ADDRESS(investment_min_row,COLUMN()) &amp; ":" &amp; ADDRESS(investment_max_row, COLUMN())))</f>
        <v>0</v>
      </c>
      <c r="CB59" s="20">
        <f t="array" aca="1" ref="CB59" ca="1">SUM(INDIRECT(ADDRESS(investment_min_row,COLUMN()) &amp; ":" &amp; ADDRESS(investment_max_row, COLUMN())))</f>
        <v>0</v>
      </c>
      <c r="CC59" s="20">
        <f t="array" aca="1" ref="CC59" ca="1">SUM(INDIRECT(ADDRESS(investment_min_row,COLUMN()) &amp; ":" &amp; ADDRESS(investment_max_row, COLUMN())))</f>
        <v>0</v>
      </c>
      <c r="CD59" s="20">
        <f t="array" aca="1" ref="CD59" ca="1">SUM(INDIRECT(ADDRESS(investment_min_row,COLUMN()) &amp; ":" &amp; ADDRESS(investment_max_row, COLUMN())))</f>
        <v>0</v>
      </c>
      <c r="CE59" s="20">
        <f t="array" aca="1" ref="CE59" ca="1">SUM(INDIRECT(ADDRESS(investment_min_row,COLUMN()) &amp; ":" &amp; ADDRESS(investment_max_row, COLUMN())))</f>
        <v>0</v>
      </c>
      <c r="CF59" s="20">
        <f t="array" aca="1" ref="CF59" ca="1">SUM(INDIRECT(ADDRESS(investment_min_row,COLUMN()) &amp; ":" &amp; ADDRESS(investment_max_row, COLUMN())))</f>
        <v>0</v>
      </c>
      <c r="CG59" s="20">
        <f t="array" aca="1" ref="CG59" ca="1">SUM(INDIRECT(ADDRESS(investment_min_row,COLUMN()) &amp; ":" &amp; ADDRESS(investment_max_row, COLUMN())))</f>
        <v>0</v>
      </c>
      <c r="CH59" s="20">
        <f t="array" aca="1" ref="CH59" ca="1">SUM(INDIRECT(ADDRESS(investment_min_row,COLUMN()) &amp; ":" &amp; ADDRESS(investment_max_row, COLUMN())))</f>
        <v>0</v>
      </c>
      <c r="CI59" s="20">
        <f t="array" aca="1" ref="CI59" ca="1">SUM(INDIRECT(ADDRESS(investment_min_row,COLUMN()) &amp; ":" &amp; ADDRESS(investment_max_row, COLUMN())))</f>
        <v>0</v>
      </c>
      <c r="CK59" s="20">
        <f t="array" aca="1" ref="CK59" ca="1">SUM(INDIRECT(ADDRESS(investment_min_row,COLUMN()) &amp; ":" &amp; ADDRESS(investment_max_row, COLUMN())))</f>
        <v>0</v>
      </c>
      <c r="CL59" s="20">
        <f t="array" aca="1" ref="CL59" ca="1">SUM(INDIRECT(ADDRESS(investment_min_row,COLUMN()) &amp; ":" &amp; ADDRESS(investment_max_row, COLUMN())))</f>
        <v>0</v>
      </c>
      <c r="CM59" s="20">
        <f t="array" aca="1" ref="CM59" ca="1">SUM(INDIRECT(ADDRESS(investment_min_row,COLUMN()) &amp; ":" &amp; ADDRESS(investment_max_row, COLUMN())))</f>
        <v>0</v>
      </c>
      <c r="CN59" s="20">
        <f t="array" aca="1" ref="CN59" ca="1">SUM(INDIRECT(ADDRESS(investment_min_row,COLUMN()) &amp; ":" &amp; ADDRESS(investment_max_row, COLUMN())))</f>
        <v>0</v>
      </c>
      <c r="CO59" s="20">
        <f t="array" aca="1" ref="CO59" ca="1">SUM(INDIRECT(ADDRESS(investment_min_row,COLUMN()) &amp; ":" &amp; ADDRESS(investment_max_row, COLUMN())))</f>
        <v>0</v>
      </c>
      <c r="CP59" s="20">
        <f t="array" aca="1" ref="CP59" ca="1">SUM(INDIRECT(ADDRESS(investment_min_row,COLUMN()) &amp; ":" &amp; ADDRESS(investment_max_row, COLUMN())))</f>
        <v>0</v>
      </c>
      <c r="CQ59" s="20">
        <f t="array" aca="1" ref="CQ59" ca="1">SUM(INDIRECT(ADDRESS(investment_min_row,COLUMN()) &amp; ":" &amp; ADDRESS(investment_max_row, COLUMN())))</f>
        <v>0</v>
      </c>
      <c r="CR59" s="20">
        <f t="array" aca="1" ref="CR59" ca="1">SUM(INDIRECT(ADDRESS(investment_min_row,COLUMN()) &amp; ":" &amp; ADDRESS(investment_max_row, COLUMN())))</f>
        <v>0</v>
      </c>
      <c r="CS59" s="20">
        <f t="array" aca="1" ref="CS59" ca="1">SUM(INDIRECT(ADDRESS(investment_min_row,COLUMN()) &amp; ":" &amp; ADDRESS(investment_max_row, COLUMN())))</f>
        <v>0</v>
      </c>
      <c r="CT59" s="20">
        <f t="array" aca="1" ref="CT59" ca="1">SUM(INDIRECT(ADDRESS(investment_min_row,COLUMN()) &amp; ":" &amp; ADDRESS(investment_max_row, COLUMN())))</f>
        <v>0</v>
      </c>
      <c r="CU59" s="20">
        <f t="array" aca="1" ref="CU59" ca="1">SUM(INDIRECT(ADDRESS(investment_min_row,COLUMN()) &amp; ":" &amp; ADDRESS(investment_max_row, COLUMN())))</f>
        <v>0</v>
      </c>
      <c r="CV59" s="20">
        <f t="array" aca="1" ref="CV59" ca="1">SUM(INDIRECT(ADDRESS(investment_min_row,COLUMN()) &amp; ":" &amp; ADDRESS(investment_max_row, COLUMN())))</f>
        <v>0</v>
      </c>
      <c r="CW59" s="20">
        <f t="array" aca="1" ref="CW59" ca="1">SUM(INDIRECT(ADDRESS(investment_min_row,COLUMN()) &amp; ":" &amp; ADDRESS(investment_max_row, COLUMN())))</f>
        <v>0</v>
      </c>
      <c r="CY59" s="20">
        <f t="array" aca="1" ref="CY59" ca="1">SUM(INDIRECT(ADDRESS(investment_min_row,COLUMN()) &amp; ":" &amp; ADDRESS(investment_max_row, COLUMN())))</f>
        <v>0</v>
      </c>
      <c r="CZ59" s="20">
        <f t="array" aca="1" ref="CZ59" ca="1">SUM(INDIRECT(ADDRESS(investment_min_row,COLUMN()) &amp; ":" &amp; ADDRESS(investment_max_row, COLUMN())))</f>
        <v>0</v>
      </c>
      <c r="DA59" s="20">
        <f t="array" aca="1" ref="DA59" ca="1">SUM(INDIRECT(ADDRESS(investment_min_row,COLUMN()) &amp; ":" &amp; ADDRESS(investment_max_row, COLUMN())))</f>
        <v>0</v>
      </c>
      <c r="DB59" s="20">
        <f t="array" aca="1" ref="DB59" ca="1">SUM(INDIRECT(ADDRESS(investment_min_row,COLUMN()) &amp; ":" &amp; ADDRESS(investment_max_row, COLUMN())))</f>
        <v>0</v>
      </c>
      <c r="DC59" s="20">
        <f t="array" aca="1" ref="DC59" ca="1">SUM(INDIRECT(ADDRESS(investment_min_row,COLUMN()) &amp; ":" &amp; ADDRESS(investment_max_row, COLUMN())))</f>
        <v>0</v>
      </c>
      <c r="DD59" s="20">
        <f t="array" aca="1" ref="DD59" ca="1">SUM(INDIRECT(ADDRESS(investment_min_row,COLUMN()) &amp; ":" &amp; ADDRESS(investment_max_row, COLUMN())))</f>
        <v>0</v>
      </c>
      <c r="DE59" s="20">
        <f t="array" aca="1" ref="DE59" ca="1">SUM(INDIRECT(ADDRESS(investment_min_row,COLUMN()) &amp; ":" &amp; ADDRESS(investment_max_row, COLUMN())))</f>
        <v>0</v>
      </c>
      <c r="DF59" s="20">
        <f t="array" aca="1" ref="DF59" ca="1">SUM(INDIRECT(ADDRESS(investment_min_row,COLUMN()) &amp; ":" &amp; ADDRESS(investment_max_row, COLUMN())))</f>
        <v>0</v>
      </c>
      <c r="DG59" s="20">
        <f t="array" aca="1" ref="DG59" ca="1">SUM(INDIRECT(ADDRESS(investment_min_row,COLUMN()) &amp; ":" &amp; ADDRESS(investment_max_row, COLUMN())))</f>
        <v>0</v>
      </c>
      <c r="DH59" s="20">
        <f t="array" aca="1" ref="DH59" ca="1">SUM(INDIRECT(ADDRESS(investment_min_row,COLUMN()) &amp; ":" &amp; ADDRESS(investment_max_row, COLUMN())))</f>
        <v>0</v>
      </c>
      <c r="DI59" s="20">
        <f t="array" aca="1" ref="DI59" ca="1">SUM(INDIRECT(ADDRESS(investment_min_row,COLUMN()) &amp; ":" &amp; ADDRESS(investment_max_row, COLUMN())))</f>
        <v>0</v>
      </c>
      <c r="DJ59" s="20">
        <f t="array" aca="1" ref="DJ59" ca="1">SUM(INDIRECT(ADDRESS(investment_min_row,COLUMN()) &amp; ":" &amp; ADDRESS(investment_max_row, COLUMN())))</f>
        <v>0</v>
      </c>
      <c r="DK59" s="20">
        <f t="array" aca="1" ref="DK59" ca="1">SUM(INDIRECT(ADDRESS(investment_min_row,COLUMN()) &amp; ":" &amp; ADDRESS(investment_max_row, COLUMN())))</f>
        <v>0</v>
      </c>
      <c r="DM59" s="20">
        <f t="array" aca="1" ref="DM59" ca="1">SUM(INDIRECT(ADDRESS(investment_min_row,COLUMN()) &amp; ":" &amp; ADDRESS(investment_max_row, COLUMN())))</f>
        <v>0</v>
      </c>
      <c r="DN59" s="20">
        <f t="array" aca="1" ref="DN59" ca="1">SUM(INDIRECT(ADDRESS(investment_min_row,COLUMN()) &amp; ":" &amp; ADDRESS(investment_max_row, COLUMN())))</f>
        <v>0</v>
      </c>
      <c r="DO59" s="20">
        <f t="array" aca="1" ref="DO59" ca="1">SUM(INDIRECT(ADDRESS(investment_min_row,COLUMN()) &amp; ":" &amp; ADDRESS(investment_max_row, COLUMN())))</f>
        <v>0</v>
      </c>
      <c r="DP59" s="20">
        <f t="array" aca="1" ref="DP59" ca="1">SUM(INDIRECT(ADDRESS(investment_min_row,COLUMN()) &amp; ":" &amp; ADDRESS(investment_max_row, COLUMN())))</f>
        <v>0</v>
      </c>
      <c r="DQ59" s="20">
        <f t="array" aca="1" ref="DQ59" ca="1">SUM(INDIRECT(ADDRESS(investment_min_row,COLUMN()) &amp; ":" &amp; ADDRESS(investment_max_row, COLUMN())))</f>
        <v>0</v>
      </c>
      <c r="DR59" s="20">
        <f t="array" aca="1" ref="DR59" ca="1">SUM(INDIRECT(ADDRESS(investment_min_row,COLUMN()) &amp; ":" &amp; ADDRESS(investment_max_row, COLUMN())))</f>
        <v>0</v>
      </c>
      <c r="DS59" s="20">
        <f t="array" aca="1" ref="DS59" ca="1">SUM(INDIRECT(ADDRESS(investment_min_row,COLUMN()) &amp; ":" &amp; ADDRESS(investment_max_row, COLUMN())))</f>
        <v>0</v>
      </c>
      <c r="DT59" s="20">
        <f t="array" aca="1" ref="DT59" ca="1">SUM(INDIRECT(ADDRESS(investment_min_row,COLUMN()) &amp; ":" &amp; ADDRESS(investment_max_row, COLUMN())))</f>
        <v>0</v>
      </c>
      <c r="DU59" s="20">
        <f t="array" aca="1" ref="DU59" ca="1">SUM(INDIRECT(ADDRESS(investment_min_row,COLUMN()) &amp; ":" &amp; ADDRESS(investment_max_row, COLUMN())))</f>
        <v>0</v>
      </c>
      <c r="DV59" s="20">
        <f t="array" aca="1" ref="DV59" ca="1">SUM(INDIRECT(ADDRESS(investment_min_row,COLUMN()) &amp; ":" &amp; ADDRESS(investment_max_row, COLUMN())))</f>
        <v>0</v>
      </c>
      <c r="DW59" s="20">
        <f t="array" aca="1" ref="DW59" ca="1">SUM(INDIRECT(ADDRESS(investment_min_row,COLUMN()) &amp; ":" &amp; ADDRESS(investment_max_row, COLUMN())))</f>
        <v>0</v>
      </c>
      <c r="DX59" s="20">
        <f t="array" aca="1" ref="DX59" ca="1">SUM(INDIRECT(ADDRESS(investment_min_row,COLUMN()) &amp; ":" &amp; ADDRESS(investment_max_row, COLUMN())))</f>
        <v>0</v>
      </c>
      <c r="DY59" s="20">
        <f t="array" aca="1" ref="DY59" ca="1">SUM(INDIRECT(ADDRESS(investment_min_row,COLUMN()) &amp; ":" &amp; ADDRESS(investment_max_row, COLUMN())))</f>
        <v>0</v>
      </c>
      <c r="EA59" s="20">
        <f t="array" aca="1" ref="EA59" ca="1">SUM(INDIRECT(ADDRESS(investment_min_row,COLUMN()) &amp; ":" &amp; ADDRESS(investment_max_row, COLUMN())))</f>
        <v>0</v>
      </c>
      <c r="EB59" s="20">
        <f t="array" aca="1" ref="EB59" ca="1">SUM(INDIRECT(ADDRESS(investment_min_row,COLUMN()) &amp; ":" &amp; ADDRESS(investment_max_row, COLUMN())))</f>
        <v>0</v>
      </c>
      <c r="EC59" s="20">
        <f t="array" aca="1" ref="EC59" ca="1">SUM(INDIRECT(ADDRESS(investment_min_row,COLUMN()) &amp; ":" &amp; ADDRESS(investment_max_row, COLUMN())))</f>
        <v>0</v>
      </c>
      <c r="ED59" s="20">
        <f t="array" aca="1" ref="ED59" ca="1">SUM(INDIRECT(ADDRESS(investment_min_row,COLUMN()) &amp; ":" &amp; ADDRESS(investment_max_row, COLUMN())))</f>
        <v>0</v>
      </c>
      <c r="EE59" s="20">
        <f t="array" aca="1" ref="EE59" ca="1">SUM(INDIRECT(ADDRESS(investment_min_row,COLUMN()) &amp; ":" &amp; ADDRESS(investment_max_row, COLUMN())))</f>
        <v>0</v>
      </c>
      <c r="EF59" s="20">
        <f t="array" aca="1" ref="EF59" ca="1">SUM(INDIRECT(ADDRESS(investment_min_row,COLUMN()) &amp; ":" &amp; ADDRESS(investment_max_row, COLUMN())))</f>
        <v>0</v>
      </c>
      <c r="EG59" s="20">
        <f t="array" aca="1" ref="EG59" ca="1">SUM(INDIRECT(ADDRESS(investment_min_row,COLUMN()) &amp; ":" &amp; ADDRESS(investment_max_row, COLUMN())))</f>
        <v>0</v>
      </c>
      <c r="EH59" s="20">
        <f t="array" aca="1" ref="EH59" ca="1">SUM(INDIRECT(ADDRESS(investment_min_row,COLUMN()) &amp; ":" &amp; ADDRESS(investment_max_row, COLUMN())))</f>
        <v>0</v>
      </c>
      <c r="EI59" s="20">
        <f t="array" aca="1" ref="EI59" ca="1">SUM(INDIRECT(ADDRESS(investment_min_row,COLUMN()) &amp; ":" &amp; ADDRESS(investment_max_row, COLUMN())))</f>
        <v>0</v>
      </c>
      <c r="EJ59" s="20">
        <f t="array" aca="1" ref="EJ59" ca="1">SUM(INDIRECT(ADDRESS(investment_min_row,COLUMN()) &amp; ":" &amp; ADDRESS(investment_max_row, COLUMN())))</f>
        <v>0</v>
      </c>
      <c r="EK59" s="20">
        <f t="array" aca="1" ref="EK59" ca="1">SUM(INDIRECT(ADDRESS(investment_min_row,COLUMN()) &amp; ":" &amp; ADDRESS(investment_max_row, COLUMN())))</f>
        <v>0</v>
      </c>
      <c r="EL59" s="20">
        <f t="array" aca="1" ref="EL59" ca="1">SUM(INDIRECT(ADDRESS(investment_min_row,COLUMN()) &amp; ":" &amp; ADDRESS(investment_max_row, COLUMN())))</f>
        <v>0</v>
      </c>
      <c r="EM59" s="20">
        <f t="array" aca="1" ref="EM59" ca="1">SUM(INDIRECT(ADDRESS(investment_min_row,COLUMN()) &amp; ":" &amp; ADDRESS(investment_max_row, COLUMN())))</f>
        <v>0</v>
      </c>
      <c r="EO59" s="20">
        <f t="array" aca="1" ref="EO59" ca="1">SUM(INDIRECT(ADDRESS(investment_min_row,COLUMN()) &amp; ":" &amp; ADDRESS(investment_max_row, COLUMN())))</f>
        <v>0</v>
      </c>
      <c r="EP59" s="20">
        <f t="array" aca="1" ref="EP59" ca="1">SUM(INDIRECT(ADDRESS(investment_min_row,COLUMN()) &amp; ":" &amp; ADDRESS(investment_max_row, COLUMN())))</f>
        <v>0</v>
      </c>
      <c r="EQ59" s="20">
        <f t="array" aca="1" ref="EQ59" ca="1">SUM(INDIRECT(ADDRESS(investment_min_row,COLUMN()) &amp; ":" &amp; ADDRESS(investment_max_row, COLUMN())))</f>
        <v>0</v>
      </c>
      <c r="ER59" s="20">
        <f t="array" aca="1" ref="ER59" ca="1">SUM(INDIRECT(ADDRESS(investment_min_row,COLUMN()) &amp; ":" &amp; ADDRESS(investment_max_row, COLUMN())))</f>
        <v>0</v>
      </c>
      <c r="ES59" s="20">
        <f t="array" aca="1" ref="ES59" ca="1">SUM(INDIRECT(ADDRESS(investment_min_row,COLUMN()) &amp; ":" &amp; ADDRESS(investment_max_row, COLUMN())))</f>
        <v>0</v>
      </c>
      <c r="ET59" s="20">
        <f t="array" aca="1" ref="ET59" ca="1">SUM(INDIRECT(ADDRESS(investment_min_row,COLUMN()) &amp; ":" &amp; ADDRESS(investment_max_row, COLUMN())))</f>
        <v>0</v>
      </c>
      <c r="EU59" s="20">
        <f t="array" aca="1" ref="EU59" ca="1">SUM(INDIRECT(ADDRESS(investment_min_row,COLUMN()) &amp; ":" &amp; ADDRESS(investment_max_row, COLUMN())))</f>
        <v>0</v>
      </c>
      <c r="EV59" s="20">
        <f t="array" aca="1" ref="EV59" ca="1">SUM(INDIRECT(ADDRESS(investment_min_row,COLUMN()) &amp; ":" &amp; ADDRESS(investment_max_row, COLUMN())))</f>
        <v>0</v>
      </c>
      <c r="EW59" s="20">
        <f t="array" aca="1" ref="EW59" ca="1">SUM(INDIRECT(ADDRESS(investment_min_row,COLUMN()) &amp; ":" &amp; ADDRESS(investment_max_row, COLUMN())))</f>
        <v>0</v>
      </c>
      <c r="EX59" s="20">
        <f t="array" aca="1" ref="EX59" ca="1">SUM(INDIRECT(ADDRESS(investment_min_row,COLUMN()) &amp; ":" &amp; ADDRESS(investment_max_row, COLUMN())))</f>
        <v>0</v>
      </c>
      <c r="EY59" s="20">
        <f t="array" aca="1" ref="EY59" ca="1">SUM(INDIRECT(ADDRESS(investment_min_row,COLUMN()) &amp; ":" &amp; ADDRESS(investment_max_row, COLUMN())))</f>
        <v>0</v>
      </c>
      <c r="EZ59" s="20">
        <f t="array" aca="1" ref="EZ59" ca="1">SUM(INDIRECT(ADDRESS(investment_min_row,COLUMN()) &amp; ":" &amp; ADDRESS(investment_max_row, COLUMN())))</f>
        <v>0</v>
      </c>
      <c r="FA59" s="20">
        <f t="array" aca="1" ref="FA59" ca="1">SUM(INDIRECT(ADDRESS(investment_min_row,COLUMN()) &amp; ":" &amp; ADDRESS(investment_max_row, COLUMN())))</f>
        <v>0</v>
      </c>
    </row>
  </sheetData>
  <mergeCells count="12">
    <mergeCell ref="AU5:BG5"/>
    <mergeCell ref="AG5:AS5"/>
    <mergeCell ref="E5:Q5"/>
    <mergeCell ref="EO5:FA5"/>
    <mergeCell ref="A1:C3"/>
    <mergeCell ref="BI5:BU5"/>
    <mergeCell ref="CK5:CW5"/>
    <mergeCell ref="BW5:CI5"/>
    <mergeCell ref="EA5:EM5"/>
    <mergeCell ref="CY5:DK5"/>
    <mergeCell ref="DM5:DY5"/>
    <mergeCell ref="S5:AE5"/>
  </mergeCells>
  <conditionalFormatting sqref="C10:C19 S10:AE19 AG10:AS19 AU10:BG19 BI10:BU19 BW10:CI19 CK10:CW19 CY10:DK19 DM10:DY19 EA10:EM19 E10:Q19">
    <cfRule type="expression" dxfId="50" priority="14">
      <formula>ROW(A10)&lt;=Einkommen_Max_Row</formula>
    </cfRule>
  </conditionalFormatting>
  <conditionalFormatting sqref="C23:C26 S23:AE32 AG23:AS32 AU23:BG32 BI23:BU32 BW23:CI32 CK23:CW32 CY23:DK32 DM23:DY32 EA23:EM32 E23:Q32">
    <cfRule type="expression" dxfId="49" priority="13">
      <formula>ROW(A23)&lt;=Fixkosten_Max_Row</formula>
    </cfRule>
  </conditionalFormatting>
  <conditionalFormatting sqref="C36:C40 S36:AE45 AG36:AS45 AU36:BG45 BI36:BU45 BW36:CI45 CK36:CW45 CY36:DK45 DM36:DY45 EA36:EM45 EO36:FA45 E36:Q45">
    <cfRule type="expression" dxfId="48" priority="12">
      <formula>ROW(A36)&lt;=Variablekosten_Max_Row</formula>
    </cfRule>
  </conditionalFormatting>
  <conditionalFormatting sqref="C49:C51 S49:AE58 AG49:AS58 AU49:BG58 BI49:BU58 BW49:CI58 CK49:CW58 CY49:DK58 DM49:DY58 EA49:EM58 E49:Q58">
    <cfRule type="expression" dxfId="47" priority="11">
      <formula>ROW(A49)&lt;=investment_max_row</formula>
    </cfRule>
  </conditionalFormatting>
  <conditionalFormatting sqref="EO10:FA19">
    <cfRule type="expression" dxfId="46" priority="7">
      <formula>ROW(EM10)&lt;=Einkommen_Max_Row</formula>
    </cfRule>
  </conditionalFormatting>
  <conditionalFormatting sqref="EO23:FA32">
    <cfRule type="expression" dxfId="45" priority="6">
      <formula>ROW(EM23)&lt;=Fixkosten_Max_Row</formula>
    </cfRule>
  </conditionalFormatting>
  <conditionalFormatting sqref="EO49:FA58">
    <cfRule type="expression" dxfId="44" priority="4">
      <formula>ROW(EM49)&lt;=investment_max_row</formula>
    </cfRule>
  </conditionalFormatting>
  <conditionalFormatting sqref="E6:Q7 S6:AE7 AG6:AS7 AU6:BG7 BI6:BU7 BW6:CI7 CK6:CW7 CY6:DK7 DM6:DY7 EA6:EM7 EO6:FA7">
    <cfRule type="expression" dxfId="43" priority="53" stopIfTrue="1">
      <formula>AND(E$20=0,E$33=0,E$46=0,E$59=0)</formula>
    </cfRule>
    <cfRule type="expression" dxfId="42" priority="54" stopIfTrue="1">
      <formula>E$7=0</formula>
    </cfRule>
    <cfRule type="expression" dxfId="41" priority="55">
      <formula>E$7&lt;0</formula>
    </cfRule>
  </conditionalFormatting>
  <pageMargins left="0.7" right="0.7" top="0.78740157499999996" bottom="0.78740157499999996" header="0.3" footer="0.3"/>
  <pageSetup paperSize="9" orientation="portrait" horizontalDpi="300" verticalDpi="300"/>
  <tableParts count="4">
    <tablePart r:id="rId1"/>
    <tablePart r:id="rId2"/>
    <tablePart r:id="rId3"/>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tabColor theme="9" tint="0.79998168889431442"/>
  </sheetPr>
  <dimension ref="A1:BQ63"/>
  <sheetViews>
    <sheetView showGridLines="0" zoomScale="90" zoomScaleNormal="90" workbookViewId="0">
      <selection activeCell="AT7" sqref="AT7"/>
    </sheetView>
  </sheetViews>
  <sheetFormatPr baseColWidth="10" defaultColWidth="10.6640625" defaultRowHeight="14.4" x14ac:dyDescent="0.3"/>
  <cols>
    <col min="1" max="2" width="4.44140625" style="136" customWidth="1"/>
    <col min="3" max="3" width="11.44140625" style="136" hidden="1" customWidth="1"/>
    <col min="4" max="4" width="13.44140625" style="136" hidden="1" customWidth="1"/>
    <col min="5" max="8" width="11.44140625" style="136" hidden="1" customWidth="1"/>
    <col min="9" max="9" width="14.33203125" style="136" hidden="1" customWidth="1"/>
    <col min="10" max="10" width="33.88671875" style="136" hidden="1" customWidth="1"/>
    <col min="11" max="11" width="14" style="136" hidden="1" customWidth="1"/>
    <col min="12" max="12" width="16.109375" style="136" hidden="1" customWidth="1"/>
    <col min="13" max="13" width="13" style="136" hidden="1" customWidth="1"/>
    <col min="14" max="14" width="14" style="136" hidden="1" customWidth="1"/>
    <col min="15" max="15" width="15.109375" style="136" hidden="1" customWidth="1"/>
    <col min="16" max="16" width="11.44140625" style="136" hidden="1" customWidth="1"/>
    <col min="17" max="17" width="15" style="136" hidden="1" customWidth="1"/>
    <col min="18" max="19" width="11.44140625" style="136" hidden="1" customWidth="1"/>
    <col min="20" max="20" width="13" style="136" hidden="1" customWidth="1"/>
    <col min="21" max="21" width="12.6640625" style="136" hidden="1" customWidth="1"/>
    <col min="22" max="22" width="20.44140625" style="136" hidden="1" customWidth="1"/>
    <col min="23" max="23" width="13.88671875" style="136" hidden="1" customWidth="1"/>
    <col min="24" max="24" width="18.88671875" style="136" hidden="1" customWidth="1"/>
    <col min="25" max="25" width="21.88671875" style="136" customWidth="1"/>
    <col min="26" max="30" width="17.109375" style="136" customWidth="1"/>
    <col min="31" max="31" width="5.109375" style="136" customWidth="1"/>
    <col min="32" max="32" width="15.6640625" style="136" customWidth="1"/>
    <col min="33" max="33" width="13.109375" style="136" customWidth="1"/>
    <col min="34" max="34" width="2.88671875" style="136" customWidth="1"/>
    <col min="35" max="35" width="15.109375" style="136" customWidth="1"/>
    <col min="36" max="36" width="14" style="136" customWidth="1"/>
    <col min="37" max="37" width="6.33203125" style="136" customWidth="1"/>
    <col min="38" max="38" width="5.33203125" style="136" customWidth="1"/>
    <col min="39" max="39" width="15.6640625" style="136" customWidth="1"/>
    <col min="40" max="40" width="13.109375" style="136" customWidth="1"/>
    <col min="41" max="41" width="2.88671875" style="136" customWidth="1"/>
    <col min="42" max="42" width="15.109375" style="136" customWidth="1"/>
    <col min="43" max="43" width="14" style="136" customWidth="1"/>
    <col min="44" max="44" width="6.33203125" style="136" customWidth="1"/>
    <col min="45" max="45" width="5.33203125" style="136" customWidth="1"/>
    <col min="60" max="60" width="16.88671875" customWidth="1"/>
    <col min="66" max="66" width="2.5546875" customWidth="1"/>
    <col min="68" max="68" width="16.77734375" customWidth="1"/>
  </cols>
  <sheetData>
    <row r="1" spans="1:69" s="39" customFormat="1" ht="15" customHeight="1" x14ac:dyDescent="0.7">
      <c r="A1" s="172" t="s">
        <v>112</v>
      </c>
      <c r="B1" s="173"/>
      <c r="C1" s="173"/>
      <c r="D1" s="173"/>
      <c r="E1" s="173"/>
      <c r="F1" s="173"/>
      <c r="G1" s="173"/>
      <c r="H1" s="173"/>
      <c r="I1" s="173"/>
      <c r="J1" s="173"/>
      <c r="K1" s="173"/>
      <c r="L1" s="173"/>
      <c r="M1" s="173"/>
      <c r="N1" s="173"/>
      <c r="O1" s="173"/>
      <c r="P1" s="173"/>
      <c r="Q1" s="173"/>
      <c r="R1" s="173"/>
      <c r="S1" s="173"/>
      <c r="T1" s="173"/>
      <c r="U1" s="173"/>
      <c r="V1" s="173"/>
      <c r="W1" s="173"/>
      <c r="X1" s="173"/>
      <c r="Y1" s="173"/>
    </row>
    <row r="2" spans="1:69" s="39" customFormat="1" ht="15" customHeight="1" x14ac:dyDescent="0.7">
      <c r="A2" s="173"/>
      <c r="B2" s="173"/>
      <c r="C2" s="173"/>
      <c r="D2" s="173"/>
      <c r="E2" s="173"/>
      <c r="F2" s="173"/>
      <c r="G2" s="173"/>
      <c r="H2" s="173"/>
      <c r="I2" s="173"/>
      <c r="J2" s="173"/>
      <c r="K2" s="173"/>
      <c r="L2" s="173"/>
      <c r="M2" s="173"/>
      <c r="N2" s="173"/>
      <c r="O2" s="173"/>
      <c r="P2" s="173"/>
      <c r="Q2" s="173"/>
      <c r="R2" s="173"/>
      <c r="S2" s="173"/>
      <c r="T2" s="173"/>
      <c r="U2" s="173"/>
      <c r="V2" s="173"/>
      <c r="W2" s="173"/>
      <c r="X2" s="173"/>
      <c r="Y2" s="173"/>
    </row>
    <row r="3" spans="1:69" s="39" customFormat="1" ht="15" customHeight="1" x14ac:dyDescent="0.7">
      <c r="A3" s="173"/>
      <c r="B3" s="173"/>
      <c r="C3" s="173"/>
      <c r="D3" s="173"/>
      <c r="E3" s="173"/>
      <c r="F3" s="173"/>
      <c r="G3" s="173"/>
      <c r="H3" s="173"/>
      <c r="I3" s="173"/>
      <c r="J3" s="173"/>
      <c r="K3" s="173"/>
      <c r="L3" s="173"/>
      <c r="M3" s="173"/>
      <c r="N3" s="173"/>
      <c r="O3" s="173"/>
      <c r="P3" s="173"/>
      <c r="Q3" s="173"/>
      <c r="R3" s="173"/>
      <c r="S3" s="173"/>
      <c r="T3" s="173"/>
      <c r="U3" s="173"/>
      <c r="V3" s="173"/>
      <c r="W3" s="173"/>
      <c r="X3" s="173"/>
      <c r="Y3" s="173"/>
    </row>
    <row r="5" spans="1:69" ht="16.2" customHeight="1" thickBot="1" x14ac:dyDescent="0.35">
      <c r="AQ5" s="196" t="s">
        <v>113</v>
      </c>
      <c r="AR5" s="197"/>
    </row>
    <row r="6" spans="1:69" x14ac:dyDescent="0.3">
      <c r="AN6" s="198" t="s">
        <v>114</v>
      </c>
      <c r="AO6" s="179"/>
      <c r="AP6" s="199"/>
      <c r="AQ6" s="194" t="s">
        <v>29</v>
      </c>
      <c r="AR6" s="195"/>
    </row>
    <row r="8" spans="1:69" ht="16.2" customHeight="1" thickBot="1" x14ac:dyDescent="0.35">
      <c r="AN8" s="198" t="s">
        <v>115</v>
      </c>
      <c r="AO8" s="179"/>
      <c r="AP8" s="199"/>
      <c r="AQ8" s="196" t="s">
        <v>116</v>
      </c>
      <c r="AR8" s="197"/>
    </row>
    <row r="9" spans="1:69" x14ac:dyDescent="0.3">
      <c r="AQ9" s="200" t="s">
        <v>33</v>
      </c>
      <c r="AR9" s="195"/>
    </row>
    <row r="10" spans="1:69" ht="15" customHeight="1" thickBot="1" x14ac:dyDescent="0.35"/>
    <row r="11" spans="1:69" x14ac:dyDescent="0.3">
      <c r="C11" s="78"/>
      <c r="D11" s="79"/>
      <c r="E11" s="78"/>
      <c r="F11" s="80"/>
      <c r="G11" s="80"/>
      <c r="H11" s="80"/>
      <c r="I11" s="78"/>
      <c r="J11" s="80"/>
      <c r="K11" s="80"/>
      <c r="L11" s="79"/>
      <c r="M11" s="78"/>
      <c r="N11" s="79"/>
      <c r="O11" s="78"/>
      <c r="P11" s="80"/>
      <c r="Q11" s="80"/>
      <c r="R11" s="79"/>
      <c r="S11" s="78"/>
      <c r="T11" s="80"/>
      <c r="U11" s="80"/>
      <c r="V11" s="80"/>
      <c r="W11" s="80"/>
      <c r="X11" s="81"/>
      <c r="Y11" s="193" t="str">
        <f t="array" aca="1" ref="Y11" ca="1">"Breakdown - "&amp; IF(selected_period="Jahresübersicht", selected_year &amp; " (Total Year)", selected_period_display &amp; " " &amp; selected_year)</f>
        <v>Breakdown - Mai 2026</v>
      </c>
      <c r="Z11" s="179"/>
      <c r="AA11" s="179"/>
      <c r="AB11" s="179"/>
      <c r="AC11" s="179"/>
      <c r="AD11" s="179"/>
      <c r="AF11" s="193" t="str">
        <f t="array" aca="1" ref="AF11" ca="1">"Summary - "&amp; IF(selected_period="Jahresübersicht", selected_year &amp; " (Total Year)", selected_period_display &amp; " " &amp; selected_year)</f>
        <v>Summary - Mai 2026</v>
      </c>
      <c r="AG11" s="179"/>
      <c r="AH11" s="179"/>
      <c r="AI11" s="179"/>
      <c r="AJ11" s="179"/>
      <c r="AK11" s="179"/>
      <c r="AL11" s="179"/>
      <c r="AM11" s="179"/>
      <c r="AN11" s="179"/>
      <c r="AO11" s="179"/>
      <c r="AP11" s="179"/>
      <c r="AQ11" s="179"/>
      <c r="AR11" s="179"/>
      <c r="AT11" s="193" t="str">
        <f ca="1">"Summary - "&amp; IF(selected_period="Jahresübersicht", selected_year &amp; " (Total Year)", selected_period_display &amp; " " &amp; selected_year)</f>
        <v>Summary - Mai 2026</v>
      </c>
      <c r="AU11" s="186"/>
      <c r="AV11" s="186"/>
      <c r="AW11" s="186"/>
      <c r="AX11" s="186"/>
      <c r="AY11" s="186"/>
      <c r="AZ11" s="186"/>
      <c r="BA11" s="186"/>
      <c r="BB11" s="186"/>
      <c r="BC11" s="186"/>
      <c r="BD11" s="186"/>
      <c r="BE11" s="186"/>
      <c r="BF11" s="186"/>
      <c r="BH11" s="193" t="s">
        <v>117</v>
      </c>
      <c r="BI11" s="186"/>
      <c r="BJ11" s="186"/>
      <c r="BK11" s="186"/>
      <c r="BL11" s="186"/>
      <c r="BM11" s="186"/>
      <c r="BN11" s="186"/>
      <c r="BO11" s="186"/>
      <c r="BP11" s="186"/>
      <c r="BQ11" s="186"/>
    </row>
    <row r="12" spans="1:69" x14ac:dyDescent="0.3">
      <c r="C12" s="72" t="s">
        <v>118</v>
      </c>
      <c r="D12" s="73" t="s">
        <v>119</v>
      </c>
      <c r="E12" s="74" t="s">
        <v>120</v>
      </c>
      <c r="F12" s="64" t="s">
        <v>121</v>
      </c>
      <c r="G12" s="64" t="s">
        <v>122</v>
      </c>
      <c r="H12" s="64" t="s">
        <v>123</v>
      </c>
      <c r="I12" s="75" t="s">
        <v>124</v>
      </c>
      <c r="J12" s="63" t="s">
        <v>125</v>
      </c>
      <c r="K12" s="63" t="s">
        <v>126</v>
      </c>
      <c r="L12" s="76" t="s">
        <v>127</v>
      </c>
      <c r="M12" s="75" t="s">
        <v>128</v>
      </c>
      <c r="N12" s="76" t="s">
        <v>129</v>
      </c>
      <c r="O12" s="75" t="s">
        <v>130</v>
      </c>
      <c r="P12" s="63" t="s">
        <v>131</v>
      </c>
      <c r="Q12" s="63" t="s">
        <v>132</v>
      </c>
      <c r="R12" s="76" t="s">
        <v>133</v>
      </c>
      <c r="S12" s="75" t="s">
        <v>134</v>
      </c>
      <c r="T12" s="63" t="s">
        <v>135</v>
      </c>
      <c r="U12" s="63" t="s">
        <v>136</v>
      </c>
      <c r="V12" s="63" t="s">
        <v>137</v>
      </c>
      <c r="W12" s="63" t="s">
        <v>138</v>
      </c>
      <c r="X12" s="77" t="s">
        <v>139</v>
      </c>
      <c r="Y12" s="82"/>
      <c r="Z12" s="82"/>
      <c r="AA12" s="82"/>
      <c r="AB12" s="82"/>
      <c r="AC12" s="82"/>
      <c r="AD12" s="82"/>
    </row>
    <row r="13" spans="1:69" x14ac:dyDescent="0.3">
      <c r="C13" s="83">
        <f t="array" ref="C13">Einkommen_Header_Row</f>
        <v>9</v>
      </c>
      <c r="D13" s="84">
        <f>IF(is_header,row_id,
  IF(NOT(is_empty),D12,-1))</f>
        <v>9</v>
      </c>
      <c r="E13" s="83">
        <f t="array" ref="E13">1*OR(row_id=Einkommen_Header_Row,row_id=Fixkosten_Header_Row,row_id=Variablekosten_Header_Row,row_id=Investment_Header_Row)</f>
        <v>1</v>
      </c>
      <c r="F13" s="82">
        <f t="shared" ref="F13:F44" si="0">1*NOT(OR(is_header,is_total,is_empty))</f>
        <v>0</v>
      </c>
      <c r="G13" s="82">
        <f t="array" ref="G13">1*OR(row_id=income_total_row,row_id=fixed_costs_total_row,row_id=variable_costs_total_row,row_id=investment_total_row)</f>
        <v>0</v>
      </c>
      <c r="H13" s="82">
        <f t="shared" ref="H13:H44" si="1">1*OR(row_id="/1", row_id="/2",row_id="/3",row_id=-1)</f>
        <v>0</v>
      </c>
      <c r="I13" s="83" t="str">
        <f t="array" ref="I13">IFERROR(INDEX('Budget Planning'!$C:$C,header_row_id),"")</f>
        <v>Einkommen</v>
      </c>
      <c r="J13" s="82" t="str">
        <f t="array" ref="J13">IFERROR(INDEX('Budget Planning'!$C:$C,row_id),"")</f>
        <v>Einkommen</v>
      </c>
      <c r="K13" s="85" t="str">
        <f t="array" ref="K13">IF(OR(is_header,is_empty),"",
  IF(is_total,
   IF(selected_period="Jahresübersicht",
    SUM(Tracking[Betrag]*(Tracking[Type]=type)*(YEAR(Tracking[Effektiv Datum])=selected_year)),
    SUM(Tracking[Betrag]*(Tracking[Type]=type)*(YEAR(Tracking[Effektiv Datum])=selected_year)*(MONTH(Tracking[Effektiv Datum])=selected_period))),
   IF(selected_period="Jahresübersicht",
    SUM(Tracking[Betrag]*(Tracking[Type]=type)*(Tracking[Kategorie]=item)*(YEAR(Tracking[Effektiv Datum])=selected_year)),
    SUM(Tracking[Betrag]*(Tracking[Type]=type)*(Tracking[Kategorie]=item)*(YEAR(Tracking[Effektiv Datum])=selected_year)*(MONTH(Tracking[Effektiv Datum])=selected_period)))
  ))</f>
        <v/>
      </c>
      <c r="L13" s="86" t="str">
        <f t="array" ref="L13">IF(OR(is_header,is_empty),"",
INDEX('Budget Planning'!$E:$FA,row_id,
MATCH(IF(selected_period="Jahresübersicht",selected_year,DATE(selected_year,selected_period,1)),'Budget Planning'!$E$9:$FA$9,0)))</f>
        <v/>
      </c>
      <c r="M13" s="87" t="str">
        <f t="array" ref="M13">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13" s="88" t="str">
        <f t="array" ref="N13">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13" s="87" t="str">
        <f t="shared" ref="O13:O44" si="2">IF(is_cat, ADDRESS(sort_min_row, COLUMN(tracked)) &amp; ":" &amp; ADDRESS(sort_max_row, COLUMN(tracked)),"")</f>
        <v/>
      </c>
      <c r="P13" s="6" t="str">
        <f t="shared" ref="P13:P44" ca="1" si="3">IF(is_cat, RANK(tracked, INDIRECT(tracked_range),0),"")</f>
        <v/>
      </c>
      <c r="Q13" s="6" t="str">
        <f t="shared" ref="Q13:Q44" si="4">IF(is_cat, ADDRESS(sort_min_row, COLUMN(budget)) &amp; ":" &amp; ADDRESS(sort_max_row, COLUMN(budget)),"")</f>
        <v/>
      </c>
      <c r="R13" s="88" t="str">
        <f t="shared" ref="R13:R44" ca="1" si="5">IF(is_cat, RANK(budget, INDIRECT(budget_range),0),"")</f>
        <v/>
      </c>
      <c r="S13" s="87" t="str">
        <f t="shared" ref="S13:S44" si="6">IF(is_cat, _xlfn.NUMBERVALUE(tracked_rank &amp; budget_rank),"")</f>
        <v/>
      </c>
      <c r="T13" s="6" t="str">
        <f t="shared" ref="T13:T44" si="7">IF(is_cat, ADDRESS(sort_min_row, COLUMN(comb_rank)) &amp; ":" &amp; ADDRESS(sort_max_row, COLUMN(comb_rank)),"")</f>
        <v/>
      </c>
      <c r="U13" s="6" t="str">
        <f t="shared" ref="U13:U44" ca="1" si="8">IF(is_cat, RANK(comb_rank, INDIRECT(comb_rank_range),1),"")</f>
        <v/>
      </c>
      <c r="V13" s="6" t="str">
        <f t="shared" ref="V13:V44" si="9">IF(is_cat, ADDRESS(sort_min_row, COLUMN(comb_rank_norm)) &amp; ":" &amp; ADDRESS(ROW(), COLUMN(comb_rank_norm)),"")</f>
        <v/>
      </c>
      <c r="W13" s="6" t="str">
        <f t="shared" ref="W13:W44" ca="1" si="10">IF(is_cat,comb_rank_norm + COUNTIF(INDIRECT(comb_rank_norm_run_range),comb_rank_norm)-1,"")</f>
        <v/>
      </c>
      <c r="X13" s="89">
        <f t="shared" ref="X13:X44" si="11">IF(is_cat, header_row_id + comb_rank_unique, row_id)</f>
        <v>9</v>
      </c>
      <c r="Y13" s="82" t="str">
        <f t="shared" ref="Y13:Y44" si="12">IF(is_empty, "", INDEX($J:$J, MATCH(row_id, $X:$X,0)))</f>
        <v>Einkommen</v>
      </c>
      <c r="Z13" s="91" t="str">
        <f t="shared" ref="Z13:Z44" si="13">IF(is_empty,"", IF(is_header,"Tracked",INDEX($K:$K, MATCH(row_id, $X:$X,0))))</f>
        <v>Tracked</v>
      </c>
      <c r="AA13" s="91" t="str">
        <f t="shared" ref="AA13:AA44" si="14">IF(is_empty,"", IF(is_header,"Budget",INDEX($L:$L, MATCH(row_id, $X:$X,0))))</f>
        <v>Budget</v>
      </c>
      <c r="AB13" s="90" t="str">
        <f t="array" ref="AB13">IF(is_empty,"",IF(is_header,"% Compl.", IFERROR(out_tracked/out_budget,"-")))</f>
        <v>% Compl.</v>
      </c>
      <c r="AC13" s="91" t="str">
        <f t="array" ref="AC13">IF(is_empty,"", IF(is_header, "Remaining", IF(out_budget - out_tracked &gt; 0, out_budget - out_tracked,0)))</f>
        <v>Remaining</v>
      </c>
      <c r="AD13" s="91" t="str">
        <f t="shared" ref="AD13:AD44" si="15">IF(is_empty,"", IF(is_header, "Excess", IF(out_budget - out_tracked &lt; 0, out_tracked - out_budget,0)))</f>
        <v>Excess</v>
      </c>
      <c r="AF13" s="95"/>
      <c r="AG13" s="96"/>
      <c r="AH13" s="96"/>
      <c r="AI13" s="96"/>
      <c r="AJ13" s="96"/>
      <c r="AK13" s="97"/>
      <c r="AM13" s="95"/>
      <c r="AN13" s="96"/>
      <c r="AO13" s="96"/>
      <c r="AP13" s="96"/>
      <c r="AQ13" s="96"/>
      <c r="AR13" s="97"/>
      <c r="AT13" s="95"/>
      <c r="AU13" s="96"/>
      <c r="AV13" s="96"/>
      <c r="AW13" s="96"/>
      <c r="AX13" s="96"/>
      <c r="AY13" s="96"/>
      <c r="AZ13" s="96"/>
      <c r="BA13" s="96"/>
      <c r="BB13" s="96"/>
      <c r="BC13" s="96"/>
      <c r="BD13" s="96"/>
      <c r="BE13" s="96"/>
      <c r="BF13" s="97"/>
      <c r="BH13" s="95"/>
      <c r="BI13" s="96"/>
      <c r="BJ13" s="96"/>
      <c r="BK13" s="96"/>
      <c r="BL13" s="96"/>
      <c r="BM13" s="96"/>
      <c r="BN13" s="96"/>
      <c r="BO13" s="96"/>
      <c r="BP13" s="96"/>
      <c r="BQ13" s="97"/>
    </row>
    <row r="14" spans="1:69" x14ac:dyDescent="0.3">
      <c r="C14" s="83">
        <f t="array" ref="C14">IF(C13=-1,-1,
  IF(C13&lt;income_max_row,C13+1,
   IF(C13=income_max_row,income_total_row,
    IF(C13=income_total_row,"/1",
     IF(C13="/1",Fixkosten_Header_Row,
      IF(C13&lt;fixed_costs_max_row,C13+1,
       IF(C13=fixed_costs_max_row,fixed_costs_total_row,
        IF(C13=fixed_costs_total_row,"/2",
         IF(C13="/2",Variablekosten_Header_Row,
          IF(C13&lt;variable_costs_max_row,C13+1,
           IF(C13=variable_costs_max_row,variable_costs_total_row,
            IF(C13=variable_costs_total_row,"/3",
             IF(C13="/3",Investment_Header_Row,
              IF(C13&lt;investment_max_row,C13+1,
               IF(C13=investment_max_row,investment_total_row,-1)))))))))))))))</f>
        <v>10</v>
      </c>
      <c r="D14" s="84">
        <f t="shared" ref="D14:D44" si="16">IF(is_header,row_id,
IF(NOT(is_empty),D13,-1))</f>
        <v>9</v>
      </c>
      <c r="E14" s="83">
        <f t="array" ref="E14">1*OR(row_id=Einkommen_Header_Row,row_id=Fixkosten_Header_Row,row_id=Variablekosten_Header_Row,row_id=Investment_Header_Row)</f>
        <v>0</v>
      </c>
      <c r="F14" s="82">
        <f t="shared" si="0"/>
        <v>1</v>
      </c>
      <c r="G14" s="82">
        <f t="array" ref="G14">1*OR(row_id=income_total_row,row_id=fixed_costs_total_row,row_id=variable_costs_total_row,row_id=investment_total_row)</f>
        <v>0</v>
      </c>
      <c r="H14" s="82">
        <f t="shared" si="1"/>
        <v>0</v>
      </c>
      <c r="I14" s="83" t="str">
        <f t="array" ref="I14">IFERROR(INDEX('Budget Planning'!$C:$C,header_row_id),"")</f>
        <v>Einkommen</v>
      </c>
      <c r="J14" s="82" t="str">
        <f t="array" ref="J14">IFERROR(INDEX('Budget Planning'!$C:$C,row_id),"")</f>
        <v>Ein 1</v>
      </c>
      <c r="K14" s="85" cm="1">
        <f t="array" aca="1" ref="K14"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14" s="86">
        <f t="array" aca="1" ref="L14" ca="1">IF(OR(is_header,is_empty),"",
INDEX('Budget Planning'!$E:$FA,row_id,
MATCH(IF(selected_period="Jahresübersicht",selected_year,DATE(selected_year,selected_period,1)),'Budget Planning'!$E$9:$FA$9,0)))</f>
        <v>0</v>
      </c>
      <c r="M14" s="87">
        <f t="array" ref="M14">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14</v>
      </c>
      <c r="N14" s="88">
        <f t="array" ref="N14">IF(is_cat,
  IF(header_row_id=Einkommen_Header_Row, MATCH(income_max_row, $C:$C, 0),
  IF(header_row_id=Fixkosten_Header_Row, MATCH(fixed_costs_max_row, $C:$C, 0),
  IF(header_row_id=Variablekosten_Header_Row, MATCH(variable_costs_max_row, $C:$C, 0),
  IF(header_row_id=Investment_Header_Row, MATCH(investment_max_row, $C:$C, 0),
  "")))),"")</f>
        <v>16</v>
      </c>
      <c r="O14" s="87" t="str">
        <f t="shared" si="2"/>
        <v>$K$14:$K$16</v>
      </c>
      <c r="P14" s="6">
        <f t="shared" ca="1" si="3"/>
        <v>1</v>
      </c>
      <c r="Q14" s="6" t="str">
        <f t="shared" si="4"/>
        <v>$L$14:$L$16</v>
      </c>
      <c r="R14" s="88">
        <f t="shared" ca="1" si="5"/>
        <v>1</v>
      </c>
      <c r="S14" s="87">
        <f t="shared" ca="1" si="6"/>
        <v>11</v>
      </c>
      <c r="T14" s="6" t="str">
        <f t="shared" si="7"/>
        <v>$S$14:$S$16</v>
      </c>
      <c r="U14" s="6">
        <f t="shared" ca="1" si="8"/>
        <v>1</v>
      </c>
      <c r="V14" s="6" t="str">
        <f t="shared" si="9"/>
        <v>$U$14:$U$14</v>
      </c>
      <c r="W14" s="6">
        <f t="shared" ca="1" si="10"/>
        <v>1</v>
      </c>
      <c r="X14" s="89">
        <f t="shared" ca="1" si="11"/>
        <v>10</v>
      </c>
      <c r="Y14" s="82" t="str">
        <f t="shared" ca="1" si="12"/>
        <v>Ein 1</v>
      </c>
      <c r="Z14" s="91">
        <f t="shared" ca="1" si="13"/>
        <v>0</v>
      </c>
      <c r="AA14" s="91">
        <f t="shared" ca="1" si="14"/>
        <v>0</v>
      </c>
      <c r="AB14" s="90" t="str">
        <f t="array" aca="1" ref="AB14" ca="1">IF(is_empty,"",IF(is_header,"% Compl.", IFERROR(out_tracked/out_budget,"-")))</f>
        <v>-</v>
      </c>
      <c r="AC14" s="91">
        <f t="array" aca="1" ref="AC14" ca="1">IF(is_empty,"", IF(is_header, "Remaining", IF(out_budget - out_tracked &gt; 0, out_budget - out_tracked,0)))</f>
        <v>0</v>
      </c>
      <c r="AD14" s="91">
        <f t="shared" ca="1" si="15"/>
        <v>0</v>
      </c>
      <c r="AF14" s="98"/>
      <c r="AK14" s="99"/>
      <c r="AM14" s="98"/>
      <c r="AR14" s="99"/>
      <c r="AT14" s="98"/>
      <c r="BF14" s="99"/>
      <c r="BH14" s="98"/>
      <c r="BO14" s="156" t="s">
        <v>145</v>
      </c>
      <c r="BP14" s="155" t="s">
        <v>9</v>
      </c>
      <c r="BQ14" s="99"/>
    </row>
    <row r="15" spans="1:69" x14ac:dyDescent="0.3">
      <c r="C15" s="83">
        <f t="array" ref="C15">IF(C14=-1,-1,
  IF(C14&lt;income_max_row,C14+1,
   IF(C14=income_max_row,income_total_row,
    IF(C14=income_total_row,"/1",
     IF(C14="/1",Fixkosten_Header_Row,
      IF(C14&lt;fixed_costs_max_row,C14+1,
       IF(C14=fixed_costs_max_row,fixed_costs_total_row,
        IF(C14=fixed_costs_total_row,"/2",
         IF(C14="/2",Variablekosten_Header_Row,
          IF(C14&lt;variable_costs_max_row,C14+1,
           IF(C14=variable_costs_max_row,variable_costs_total_row,
            IF(C14=variable_costs_total_row,"/3",
             IF(C14="/3",Investment_Header_Row,
              IF(C14&lt;investment_max_row,C14+1,
               IF(C14=investment_max_row,investment_total_row,-1)))))))))))))))</f>
        <v>11</v>
      </c>
      <c r="D15" s="84">
        <f t="shared" si="16"/>
        <v>9</v>
      </c>
      <c r="E15" s="83">
        <f t="array" ref="E15">1*OR(row_id=Einkommen_Header_Row,row_id=Fixkosten_Header_Row,row_id=Variablekosten_Header_Row,row_id=Investment_Header_Row)</f>
        <v>0</v>
      </c>
      <c r="F15" s="82">
        <f t="shared" si="0"/>
        <v>1</v>
      </c>
      <c r="G15" s="82">
        <f t="array" ref="G15">1*OR(row_id=income_total_row,row_id=fixed_costs_total_row,row_id=variable_costs_total_row,row_id=investment_total_row)</f>
        <v>0</v>
      </c>
      <c r="H15" s="82">
        <f t="shared" si="1"/>
        <v>0</v>
      </c>
      <c r="I15" s="83" t="str">
        <f t="array" ref="I15">IFERROR(INDEX('Budget Planning'!$C:$C,header_row_id),"")</f>
        <v>Einkommen</v>
      </c>
      <c r="J15" s="82" t="str">
        <f t="array" ref="J15">IFERROR(INDEX('Budget Planning'!$C:$C,row_id),"")</f>
        <v>Ein 2</v>
      </c>
      <c r="K15" s="85" cm="1">
        <f t="array" aca="1" ref="K15"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15" s="86">
        <f t="array" aca="1" ref="L15" ca="1">IF(OR(is_header,is_empty),"",
INDEX('Budget Planning'!$E:$FA,row_id,
MATCH(IF(selected_period="Jahresübersicht",selected_year,DATE(selected_year,selected_period,1)),'Budget Planning'!$E$9:$FA$9,0)))</f>
        <v>0</v>
      </c>
      <c r="M15" s="87">
        <f t="array" ref="M15">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14</v>
      </c>
      <c r="N15" s="88">
        <f t="array" ref="N15">IF(is_cat,
  IF(header_row_id=Einkommen_Header_Row, MATCH(income_max_row, $C:$C, 0),
  IF(header_row_id=Fixkosten_Header_Row, MATCH(fixed_costs_max_row, $C:$C, 0),
  IF(header_row_id=Variablekosten_Header_Row, MATCH(variable_costs_max_row, $C:$C, 0),
  IF(header_row_id=Investment_Header_Row, MATCH(investment_max_row, $C:$C, 0),
  "")))),"")</f>
        <v>16</v>
      </c>
      <c r="O15" s="87" t="str">
        <f t="shared" si="2"/>
        <v>$K$14:$K$16</v>
      </c>
      <c r="P15" s="6">
        <f t="shared" ca="1" si="3"/>
        <v>1</v>
      </c>
      <c r="Q15" s="6" t="str">
        <f t="shared" si="4"/>
        <v>$L$14:$L$16</v>
      </c>
      <c r="R15" s="88">
        <f t="shared" ca="1" si="5"/>
        <v>1</v>
      </c>
      <c r="S15" s="87">
        <f t="shared" ca="1" si="6"/>
        <v>11</v>
      </c>
      <c r="T15" s="6" t="str">
        <f t="shared" si="7"/>
        <v>$S$14:$S$16</v>
      </c>
      <c r="U15" s="6">
        <f t="shared" ca="1" si="8"/>
        <v>1</v>
      </c>
      <c r="V15" s="6" t="str">
        <f t="shared" si="9"/>
        <v>$U$14:$U$15</v>
      </c>
      <c r="W15" s="6">
        <f t="shared" ca="1" si="10"/>
        <v>2</v>
      </c>
      <c r="X15" s="89">
        <f t="shared" ca="1" si="11"/>
        <v>11</v>
      </c>
      <c r="Y15" s="82" t="str">
        <f t="shared" ca="1" si="12"/>
        <v>Ein 2</v>
      </c>
      <c r="Z15" s="91">
        <f t="shared" ca="1" si="13"/>
        <v>0</v>
      </c>
      <c r="AA15" s="91">
        <f t="shared" ca="1" si="14"/>
        <v>0</v>
      </c>
      <c r="AB15" s="90" t="str">
        <f t="array" aca="1" ref="AB15" ca="1">IF(is_empty,"",IF(is_header,"% Compl.", IFERROR(out_tracked/out_budget,"-")))</f>
        <v>-</v>
      </c>
      <c r="AC15" s="91">
        <f t="array" aca="1" ref="AC15" ca="1">IF(is_empty,"", IF(is_header, "Remaining", IF(out_budget - out_tracked &gt; 0, out_budget - out_tracked,0)))</f>
        <v>0</v>
      </c>
      <c r="AD15" s="91">
        <f t="shared" ca="1" si="15"/>
        <v>0</v>
      </c>
      <c r="AF15" s="98"/>
      <c r="AK15" s="99"/>
      <c r="AM15" s="98"/>
      <c r="AR15" s="99"/>
      <c r="AT15" s="98"/>
      <c r="BF15" s="99"/>
      <c r="BH15" s="98"/>
      <c r="BO15" s="156" t="s">
        <v>146</v>
      </c>
      <c r="BP15" s="155" t="s">
        <v>10</v>
      </c>
      <c r="BQ15" s="99"/>
    </row>
    <row r="16" spans="1:69" x14ac:dyDescent="0.3">
      <c r="C16" s="83">
        <f t="array" ref="C16">IF(C15=-1,-1,
  IF(C15&lt;income_max_row,C15+1,
   IF(C15=income_max_row,income_total_row,
    IF(C15=income_total_row,"/1",
     IF(C15="/1",Fixkosten_Header_Row,
      IF(C15&lt;fixed_costs_max_row,C15+1,
       IF(C15=fixed_costs_max_row,fixed_costs_total_row,
        IF(C15=fixed_costs_total_row,"/2",
         IF(C15="/2",Variablekosten_Header_Row,
          IF(C15&lt;variable_costs_max_row,C15+1,
           IF(C15=variable_costs_max_row,variable_costs_total_row,
            IF(C15=variable_costs_total_row,"/3",
             IF(C15="/3",Investment_Header_Row,
              IF(C15&lt;investment_max_row,C15+1,
               IF(C15=investment_max_row,investment_total_row,-1)))))))))))))))</f>
        <v>12</v>
      </c>
      <c r="D16" s="84">
        <f t="shared" si="16"/>
        <v>9</v>
      </c>
      <c r="E16" s="83">
        <f t="array" ref="E16">1*OR(row_id=Einkommen_Header_Row,row_id=Fixkosten_Header_Row,row_id=Variablekosten_Header_Row,row_id=Investment_Header_Row)</f>
        <v>0</v>
      </c>
      <c r="F16" s="82">
        <f t="shared" si="0"/>
        <v>1</v>
      </c>
      <c r="G16" s="82">
        <f t="array" ref="G16">1*OR(row_id=income_total_row,row_id=fixed_costs_total_row,row_id=variable_costs_total_row,row_id=investment_total_row)</f>
        <v>0</v>
      </c>
      <c r="H16" s="82">
        <f t="shared" si="1"/>
        <v>0</v>
      </c>
      <c r="I16" s="83" t="str">
        <f t="array" ref="I16">IFERROR(INDEX('Budget Planning'!$C:$C,header_row_id),"")</f>
        <v>Einkommen</v>
      </c>
      <c r="J16" s="82" t="str">
        <f t="array" ref="J16">IFERROR(INDEX('Budget Planning'!$C:$C,row_id),"")</f>
        <v>Ein 3</v>
      </c>
      <c r="K16" s="85" cm="1">
        <f t="array" aca="1" ref="K16"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16" s="86">
        <f t="array" aca="1" ref="L16" ca="1">IF(OR(is_header,is_empty),"",
INDEX('Budget Planning'!$E:$FA,row_id,
MATCH(IF(selected_period="Jahresübersicht",selected_year,DATE(selected_year,selected_period,1)),'Budget Planning'!$E$9:$FA$9,0)))</f>
        <v>0</v>
      </c>
      <c r="M16" s="87">
        <f t="array" ref="M16">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14</v>
      </c>
      <c r="N16" s="88">
        <f t="array" ref="N16">IF(is_cat,
  IF(header_row_id=Einkommen_Header_Row, MATCH(income_max_row, $C:$C, 0),
  IF(header_row_id=Fixkosten_Header_Row, MATCH(fixed_costs_max_row, $C:$C, 0),
  IF(header_row_id=Variablekosten_Header_Row, MATCH(variable_costs_max_row, $C:$C, 0),
  IF(header_row_id=Investment_Header_Row, MATCH(investment_max_row, $C:$C, 0),
  "")))),"")</f>
        <v>16</v>
      </c>
      <c r="O16" s="87" t="str">
        <f t="shared" si="2"/>
        <v>$K$14:$K$16</v>
      </c>
      <c r="P16" s="6">
        <f t="shared" ca="1" si="3"/>
        <v>1</v>
      </c>
      <c r="Q16" s="6" t="str">
        <f t="shared" si="4"/>
        <v>$L$14:$L$16</v>
      </c>
      <c r="R16" s="88">
        <f t="shared" ca="1" si="5"/>
        <v>1</v>
      </c>
      <c r="S16" s="87">
        <f t="shared" ca="1" si="6"/>
        <v>11</v>
      </c>
      <c r="T16" s="6" t="str">
        <f t="shared" si="7"/>
        <v>$S$14:$S$16</v>
      </c>
      <c r="U16" s="6">
        <f t="shared" ca="1" si="8"/>
        <v>1</v>
      </c>
      <c r="V16" s="6" t="str">
        <f t="shared" si="9"/>
        <v>$U$14:$U$16</v>
      </c>
      <c r="W16" s="6">
        <f t="shared" ca="1" si="10"/>
        <v>3</v>
      </c>
      <c r="X16" s="89">
        <f t="shared" ca="1" si="11"/>
        <v>12</v>
      </c>
      <c r="Y16" s="82" t="str">
        <f t="shared" ca="1" si="12"/>
        <v>Ein 3</v>
      </c>
      <c r="Z16" s="91">
        <f t="shared" ca="1" si="13"/>
        <v>0</v>
      </c>
      <c r="AA16" s="91">
        <f t="shared" ca="1" si="14"/>
        <v>0</v>
      </c>
      <c r="AB16" s="90" t="str">
        <f t="array" aca="1" ref="AB16" ca="1">IF(is_empty,"",IF(is_header,"% Compl.", IFERROR(out_tracked/out_budget,"-")))</f>
        <v>-</v>
      </c>
      <c r="AC16" s="91">
        <f t="array" aca="1" ref="AC16" ca="1">IF(is_empty,"", IF(is_header, "Remaining", IF(out_budget - out_tracked &gt; 0, out_budget - out_tracked,0)))</f>
        <v>0</v>
      </c>
      <c r="AD16" s="91">
        <f t="shared" ca="1" si="15"/>
        <v>0</v>
      </c>
      <c r="AF16" s="98"/>
      <c r="AI16" s="112" t="str">
        <f ca="1">Calculations!D34</f>
        <v/>
      </c>
      <c r="AJ16" s="113" t="str">
        <f ca="1">Calculations!E34</f>
        <v/>
      </c>
      <c r="AK16" s="99"/>
      <c r="AM16" s="98"/>
      <c r="AP16" s="112" t="str">
        <f ca="1">Calculations!H34</f>
        <v/>
      </c>
      <c r="AQ16" s="113" t="str">
        <f ca="1">Calculations!I34</f>
        <v/>
      </c>
      <c r="AR16" s="99"/>
      <c r="AT16" s="98"/>
      <c r="BF16" s="99"/>
      <c r="BH16" s="98"/>
      <c r="BQ16" s="99"/>
    </row>
    <row r="17" spans="3:69" x14ac:dyDescent="0.3">
      <c r="C17" s="83">
        <f t="array" ref="C17">IF(C16=-1,-1,
  IF(C16&lt;income_max_row,C16+1,
   IF(C16=income_max_row,income_total_row,
    IF(C16=income_total_row,"/1",
     IF(C16="/1",Fixkosten_Header_Row,
      IF(C16&lt;fixed_costs_max_row,C16+1,
       IF(C16=fixed_costs_max_row,fixed_costs_total_row,
        IF(C16=fixed_costs_total_row,"/2",
         IF(C16="/2",Variablekosten_Header_Row,
          IF(C16&lt;variable_costs_max_row,C16+1,
           IF(C16=variable_costs_max_row,variable_costs_total_row,
            IF(C16=variable_costs_total_row,"/3",
             IF(C16="/3",Investment_Header_Row,
              IF(C16&lt;investment_max_row,C16+1,
               IF(C16=investment_max_row,investment_total_row,-1)))))))))))))))</f>
        <v>20</v>
      </c>
      <c r="D17" s="84">
        <f t="shared" si="16"/>
        <v>9</v>
      </c>
      <c r="E17" s="83">
        <f t="array" ref="E17">1*OR(row_id=Einkommen_Header_Row,row_id=Fixkosten_Header_Row,row_id=Variablekosten_Header_Row,row_id=Investment_Header_Row)</f>
        <v>0</v>
      </c>
      <c r="F17" s="82">
        <f t="shared" si="0"/>
        <v>0</v>
      </c>
      <c r="G17" s="82">
        <f t="array" ref="G17">1*OR(row_id=income_total_row,row_id=fixed_costs_total_row,row_id=variable_costs_total_row,row_id=investment_total_row)</f>
        <v>1</v>
      </c>
      <c r="H17" s="82">
        <f t="shared" si="1"/>
        <v>0</v>
      </c>
      <c r="I17" s="83" t="str">
        <f t="array" ref="I17">IFERROR(INDEX('Budget Planning'!$C:$C,header_row_id),"")</f>
        <v>Einkommen</v>
      </c>
      <c r="J17" s="82" t="str">
        <f t="array" ref="J17">IFERROR(INDEX('Budget Planning'!$C:$C,row_id),"")</f>
        <v>Total</v>
      </c>
      <c r="K17" s="85" cm="1">
        <f t="array" aca="1" ref="K17"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17" s="86">
        <f t="array" aca="1" ref="L17" ca="1">IF(OR(is_header,is_empty),"",
INDEX('Budget Planning'!$E:$FA,row_id,
MATCH(IF(selected_period="Jahresübersicht",selected_year,DATE(selected_year,selected_period,1)),'Budget Planning'!$E$9:$FA$9,0)))</f>
        <v>0</v>
      </c>
      <c r="M17" s="87" t="str">
        <f t="array" ref="M17">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17" s="88" t="str">
        <f t="array" ref="N17">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17" s="87" t="str">
        <f t="shared" si="2"/>
        <v/>
      </c>
      <c r="P17" s="6" t="str">
        <f t="shared" ca="1" si="3"/>
        <v/>
      </c>
      <c r="Q17" s="6" t="str">
        <f t="shared" si="4"/>
        <v/>
      </c>
      <c r="R17" s="88" t="str">
        <f t="shared" ca="1" si="5"/>
        <v/>
      </c>
      <c r="S17" s="87" t="str">
        <f t="shared" si="6"/>
        <v/>
      </c>
      <c r="T17" s="6" t="str">
        <f t="shared" si="7"/>
        <v/>
      </c>
      <c r="U17" s="6" t="str">
        <f t="shared" ca="1" si="8"/>
        <v/>
      </c>
      <c r="V17" s="6" t="str">
        <f t="shared" si="9"/>
        <v/>
      </c>
      <c r="W17" s="6" t="str">
        <f t="shared" ca="1" si="10"/>
        <v/>
      </c>
      <c r="X17" s="89">
        <f t="shared" si="11"/>
        <v>20</v>
      </c>
      <c r="Y17" s="82" t="str">
        <f t="shared" ca="1" si="12"/>
        <v>Total</v>
      </c>
      <c r="Z17" s="91">
        <f t="shared" ca="1" si="13"/>
        <v>0</v>
      </c>
      <c r="AA17" s="91">
        <f t="shared" ca="1" si="14"/>
        <v>0</v>
      </c>
      <c r="AB17" s="90" t="str">
        <f t="array" aca="1" ref="AB17" ca="1">IF(is_empty,"",IF(is_header,"% Compl.", IFERROR(out_tracked/out_budget,"-")))</f>
        <v>-</v>
      </c>
      <c r="AC17" s="91">
        <f t="array" aca="1" ref="AC17" ca="1">IF(is_empty,"", IF(is_header, "Remaining", IF(out_budget - out_tracked &gt; 0, out_budget - out_tracked,0)))</f>
        <v>0</v>
      </c>
      <c r="AD17" s="91">
        <f t="shared" ca="1" si="15"/>
        <v>0</v>
      </c>
      <c r="AF17" s="98"/>
      <c r="AI17" s="112" t="str">
        <f ca="1">Calculations!D35</f>
        <v/>
      </c>
      <c r="AJ17" s="113" t="str">
        <f ca="1">Calculations!E35</f>
        <v/>
      </c>
      <c r="AK17" s="99"/>
      <c r="AM17" s="98"/>
      <c r="AP17" s="112" t="str">
        <f ca="1">Calculations!H35</f>
        <v/>
      </c>
      <c r="AQ17" s="113" t="str">
        <f ca="1">Calculations!I35</f>
        <v/>
      </c>
      <c r="AR17" s="99"/>
      <c r="AT17" s="98"/>
      <c r="BF17" s="99"/>
      <c r="BH17" s="98"/>
      <c r="BQ17" s="99"/>
    </row>
    <row r="18" spans="3:69" x14ac:dyDescent="0.3">
      <c r="C18" s="83" t="str">
        <f t="array" ref="C18">IF(C17=-1,-1,
  IF(C17&lt;income_max_row,C17+1,
   IF(C17=income_max_row,income_total_row,
    IF(C17=income_total_row,"/1",
     IF(C17="/1",Fixkosten_Header_Row,
      IF(C17&lt;fixed_costs_max_row,C17+1,
       IF(C17=fixed_costs_max_row,fixed_costs_total_row,
        IF(C17=fixed_costs_total_row,"/2",
         IF(C17="/2",Variablekosten_Header_Row,
          IF(C17&lt;variable_costs_max_row,C17+1,
           IF(C17=variable_costs_max_row,variable_costs_total_row,
            IF(C17=variable_costs_total_row,"/3",
             IF(C17="/3",Investment_Header_Row,
              IF(C17&lt;investment_max_row,C17+1,
               IF(C17=investment_max_row,investment_total_row,-1)))))))))))))))</f>
        <v>/1</v>
      </c>
      <c r="D18" s="84">
        <f t="shared" si="16"/>
        <v>-1</v>
      </c>
      <c r="E18" s="83">
        <f t="array" ref="E18">1*OR(row_id=Einkommen_Header_Row,row_id=Fixkosten_Header_Row,row_id=Variablekosten_Header_Row,row_id=Investment_Header_Row)</f>
        <v>0</v>
      </c>
      <c r="F18" s="82">
        <f t="shared" si="0"/>
        <v>0</v>
      </c>
      <c r="G18" s="82">
        <f t="array" ref="G18">1*OR(row_id=income_total_row,row_id=fixed_costs_total_row,row_id=variable_costs_total_row,row_id=investment_total_row)</f>
        <v>0</v>
      </c>
      <c r="H18" s="82">
        <f t="shared" si="1"/>
        <v>1</v>
      </c>
      <c r="I18" s="83" t="str">
        <f t="array" ref="I18">IFERROR(INDEX('Budget Planning'!$C:$C,header_row_id),"")</f>
        <v/>
      </c>
      <c r="J18" s="82" t="str">
        <f t="array" ref="J18">IFERROR(INDEX('Budget Planning'!$C:$C,row_id),"")</f>
        <v/>
      </c>
      <c r="K18" s="85" t="str" cm="1">
        <f t="array" ref="K18">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18" s="86" t="str">
        <f t="array" ref="L18">IF(OR(is_header,is_empty),"",
INDEX('Budget Planning'!$E:$FA,row_id,
MATCH(IF(selected_period="Jahresübersicht",selected_year,DATE(selected_year,selected_period,1)),'Budget Planning'!$E$9:$FA$9,0)))</f>
        <v/>
      </c>
      <c r="M18" s="87" t="str">
        <f t="array" ref="M18">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18" s="88" t="str">
        <f t="array" ref="N18">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18" s="87" t="str">
        <f t="shared" si="2"/>
        <v/>
      </c>
      <c r="P18" s="6" t="str">
        <f t="shared" ca="1" si="3"/>
        <v/>
      </c>
      <c r="Q18" s="6" t="str">
        <f t="shared" si="4"/>
        <v/>
      </c>
      <c r="R18" s="88" t="str">
        <f t="shared" ca="1" si="5"/>
        <v/>
      </c>
      <c r="S18" s="87" t="str">
        <f t="shared" si="6"/>
        <v/>
      </c>
      <c r="T18" s="6" t="str">
        <f t="shared" si="7"/>
        <v/>
      </c>
      <c r="U18" s="6" t="str">
        <f t="shared" ca="1" si="8"/>
        <v/>
      </c>
      <c r="V18" s="6" t="str">
        <f t="shared" si="9"/>
        <v/>
      </c>
      <c r="W18" s="6" t="str">
        <f t="shared" ca="1" si="10"/>
        <v/>
      </c>
      <c r="X18" s="89" t="str">
        <f t="shared" si="11"/>
        <v>/1</v>
      </c>
      <c r="Y18" s="82" t="str">
        <f t="shared" si="12"/>
        <v/>
      </c>
      <c r="Z18" s="91" t="str">
        <f t="shared" si="13"/>
        <v/>
      </c>
      <c r="AA18" s="91" t="str">
        <f t="shared" si="14"/>
        <v/>
      </c>
      <c r="AB18" s="90" t="str">
        <f t="array" ref="AB18">IF(is_empty,"",IF(is_header,"% Compl.", IFERROR(out_tracked/out_budget,"-")))</f>
        <v/>
      </c>
      <c r="AC18" s="91" t="str">
        <f t="array" ref="AC18">IF(is_empty,"", IF(is_header, "Remaining", IF(out_budget - out_tracked &gt; 0, out_budget - out_tracked,0)))</f>
        <v/>
      </c>
      <c r="AD18" s="91" t="str">
        <f t="shared" si="15"/>
        <v/>
      </c>
      <c r="AF18" s="98"/>
      <c r="AI18" s="112" t="str">
        <f ca="1">Calculations!D36</f>
        <v/>
      </c>
      <c r="AJ18" s="113" t="str">
        <f ca="1">Calculations!E36</f>
        <v/>
      </c>
      <c r="AK18" s="99"/>
      <c r="AM18" s="98"/>
      <c r="AP18" s="112" t="str">
        <f ca="1">Calculations!H36</f>
        <v/>
      </c>
      <c r="AQ18" s="113" t="str">
        <f ca="1">Calculations!I36</f>
        <v/>
      </c>
      <c r="AR18" s="99"/>
      <c r="AT18" s="98"/>
      <c r="BF18" s="99"/>
      <c r="BH18" s="98"/>
      <c r="BQ18" s="99"/>
    </row>
    <row r="19" spans="3:69" x14ac:dyDescent="0.3">
      <c r="C19" s="83">
        <f t="array" ref="C19">IF(C18=-1,-1,
  IF(C18&lt;income_max_row,C18+1,
   IF(C18=income_max_row,income_total_row,
    IF(C18=income_total_row,"/1",
     IF(C18="/1",Fixkosten_Header_Row,
      IF(C18&lt;fixed_costs_max_row,C18+1,
       IF(C18=fixed_costs_max_row,fixed_costs_total_row,
        IF(C18=fixed_costs_total_row,"/2",
         IF(C18="/2",Variablekosten_Header_Row,
          IF(C18&lt;variable_costs_max_row,C18+1,
           IF(C18=variable_costs_max_row,variable_costs_total_row,
            IF(C18=variable_costs_total_row,"/3",
             IF(C18="/3",Investment_Header_Row,
              IF(C18&lt;investment_max_row,C18+1,
               IF(C18=investment_max_row,investment_total_row,-1)))))))))))))))</f>
        <v>22</v>
      </c>
      <c r="D19" s="84">
        <f t="shared" si="16"/>
        <v>22</v>
      </c>
      <c r="E19" s="83">
        <f t="array" ref="E19">1*OR(row_id=Einkommen_Header_Row,row_id=Fixkosten_Header_Row,row_id=Variablekosten_Header_Row,row_id=Investment_Header_Row)</f>
        <v>1</v>
      </c>
      <c r="F19" s="82">
        <f t="shared" si="0"/>
        <v>0</v>
      </c>
      <c r="G19" s="82">
        <f t="array" ref="G19">1*OR(row_id=income_total_row,row_id=fixed_costs_total_row,row_id=variable_costs_total_row,row_id=investment_total_row)</f>
        <v>0</v>
      </c>
      <c r="H19" s="82">
        <f t="shared" si="1"/>
        <v>0</v>
      </c>
      <c r="I19" s="83" t="str">
        <f t="array" ref="I19">IFERROR(INDEX('Budget Planning'!$C:$C,header_row_id),"")</f>
        <v>Fixkosten</v>
      </c>
      <c r="J19" s="82" t="str">
        <f t="array" ref="J19">IFERROR(INDEX('Budget Planning'!$C:$C,row_id),"")</f>
        <v>Fixkosten</v>
      </c>
      <c r="K19" s="85" t="str" cm="1">
        <f t="array" ref="K19">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19" s="86" t="str">
        <f t="array" ref="L19">IF(OR(is_header,is_empty),"",
INDEX('Budget Planning'!$E:$FA,row_id,
MATCH(IF(selected_period="Jahresübersicht",selected_year,DATE(selected_year,selected_period,1)),'Budget Planning'!$E$9:$FA$9,0)))</f>
        <v/>
      </c>
      <c r="M19" s="87" t="str">
        <f t="array" ref="M19">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19" s="88" t="str">
        <f t="array" ref="N19">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19" s="87" t="str">
        <f t="shared" si="2"/>
        <v/>
      </c>
      <c r="P19" s="6" t="str">
        <f t="shared" ca="1" si="3"/>
        <v/>
      </c>
      <c r="Q19" s="6" t="str">
        <f t="shared" si="4"/>
        <v/>
      </c>
      <c r="R19" s="88" t="str">
        <f t="shared" ca="1" si="5"/>
        <v/>
      </c>
      <c r="S19" s="87" t="str">
        <f t="shared" si="6"/>
        <v/>
      </c>
      <c r="T19" s="6" t="str">
        <f t="shared" si="7"/>
        <v/>
      </c>
      <c r="U19" s="6" t="str">
        <f t="shared" ca="1" si="8"/>
        <v/>
      </c>
      <c r="V19" s="6" t="str">
        <f t="shared" si="9"/>
        <v/>
      </c>
      <c r="W19" s="6" t="str">
        <f t="shared" ca="1" si="10"/>
        <v/>
      </c>
      <c r="X19" s="89">
        <f t="shared" si="11"/>
        <v>22</v>
      </c>
      <c r="Y19" s="82" t="str">
        <f t="shared" ca="1" si="12"/>
        <v>Fixkosten</v>
      </c>
      <c r="Z19" s="91" t="str">
        <f t="shared" si="13"/>
        <v>Tracked</v>
      </c>
      <c r="AA19" s="91" t="str">
        <f t="shared" si="14"/>
        <v>Budget</v>
      </c>
      <c r="AB19" s="90" t="str">
        <f t="array" ref="AB19">IF(is_empty,"",IF(is_header,"% Compl.", IFERROR(out_tracked/out_budget,"-")))</f>
        <v>% Compl.</v>
      </c>
      <c r="AC19" s="91" t="str">
        <f t="array" ref="AC19">IF(is_empty,"", IF(is_header, "Remaining", IF(out_budget - out_tracked &gt; 0, out_budget - out_tracked,0)))</f>
        <v>Remaining</v>
      </c>
      <c r="AD19" s="91" t="str">
        <f t="shared" si="15"/>
        <v>Excess</v>
      </c>
      <c r="AF19" s="98"/>
      <c r="AI19" s="112" t="str">
        <f>Calculations!D37</f>
        <v/>
      </c>
      <c r="AJ19" s="113" t="str">
        <f>Calculations!E37</f>
        <v/>
      </c>
      <c r="AK19" s="99"/>
      <c r="AM19" s="98"/>
      <c r="AP19" s="112" t="str">
        <f ca="1">Calculations!H37</f>
        <v/>
      </c>
      <c r="AQ19" s="113" t="str">
        <f ca="1">Calculations!I37</f>
        <v/>
      </c>
      <c r="AR19" s="99"/>
      <c r="AT19" s="98"/>
      <c r="BF19" s="99"/>
      <c r="BH19" s="98"/>
      <c r="BQ19" s="99"/>
    </row>
    <row r="20" spans="3:69" x14ac:dyDescent="0.3">
      <c r="C20" s="83">
        <f t="array" ref="C20">IF(C19=-1,-1,
  IF(C19&lt;income_max_row,C19+1,
   IF(C19=income_max_row,income_total_row,
    IF(C19=income_total_row,"/1",
     IF(C19="/1",Fixkosten_Header_Row,
      IF(C19&lt;fixed_costs_max_row,C19+1,
       IF(C19=fixed_costs_max_row,fixed_costs_total_row,
        IF(C19=fixed_costs_total_row,"/2",
         IF(C19="/2",Variablekosten_Header_Row,
          IF(C19&lt;variable_costs_max_row,C19+1,
           IF(C19=variable_costs_max_row,variable_costs_total_row,
            IF(C19=variable_costs_total_row,"/3",
             IF(C19="/3",Investment_Header_Row,
              IF(C19&lt;investment_max_row,C19+1,
               IF(C19=investment_max_row,investment_total_row,-1)))))))))))))))</f>
        <v>23</v>
      </c>
      <c r="D20" s="84">
        <f t="shared" si="16"/>
        <v>22</v>
      </c>
      <c r="E20" s="83">
        <f t="array" ref="E20">1*OR(row_id=Einkommen_Header_Row,row_id=Fixkosten_Header_Row,row_id=Variablekosten_Header_Row,row_id=Investment_Header_Row)</f>
        <v>0</v>
      </c>
      <c r="F20" s="82">
        <f t="shared" si="0"/>
        <v>1</v>
      </c>
      <c r="G20" s="82">
        <f t="array" ref="G20">1*OR(row_id=income_total_row,row_id=fixed_costs_total_row,row_id=variable_costs_total_row,row_id=investment_total_row)</f>
        <v>0</v>
      </c>
      <c r="H20" s="82">
        <f t="shared" si="1"/>
        <v>0</v>
      </c>
      <c r="I20" s="83" t="str">
        <f t="array" ref="I20">IFERROR(INDEX('Budget Planning'!$C:$C,header_row_id),"")</f>
        <v>Fixkosten</v>
      </c>
      <c r="J20" s="82" t="str">
        <f t="array" ref="J20">IFERROR(INDEX('Budget Planning'!$C:$C,row_id),"")</f>
        <v>Fix 1</v>
      </c>
      <c r="K20" s="85" cm="1">
        <f t="array" aca="1" ref="K20"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0" s="86">
        <f t="array" aca="1" ref="L20" ca="1">IF(OR(is_header,is_empty),"",
INDEX('Budget Planning'!$E:$FA,row_id,
MATCH(IF(selected_period="Jahresübersicht",selected_year,DATE(selected_year,selected_period,1)),'Budget Planning'!$E$9:$FA$9,0)))</f>
        <v>0</v>
      </c>
      <c r="M20" s="87">
        <f t="array" ref="M20">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20</v>
      </c>
      <c r="N20" s="88">
        <f t="array" ref="N20">IF(is_cat,
  IF(header_row_id=Einkommen_Header_Row, MATCH(income_max_row, $C:$C, 0),
  IF(header_row_id=Fixkosten_Header_Row, MATCH(fixed_costs_max_row, $C:$C, 0),
  IF(header_row_id=Variablekosten_Header_Row, MATCH(variable_costs_max_row, $C:$C, 0),
  IF(header_row_id=Investment_Header_Row, MATCH(investment_max_row, $C:$C, 0),
  "")))),"")</f>
        <v>23</v>
      </c>
      <c r="O20" s="87" t="str">
        <f t="shared" si="2"/>
        <v>$K$20:$K$23</v>
      </c>
      <c r="P20" s="6">
        <f t="shared" ca="1" si="3"/>
        <v>1</v>
      </c>
      <c r="Q20" s="6" t="str">
        <f t="shared" si="4"/>
        <v>$L$20:$L$23</v>
      </c>
      <c r="R20" s="88">
        <f t="shared" ca="1" si="5"/>
        <v>1</v>
      </c>
      <c r="S20" s="87">
        <f t="shared" ca="1" si="6"/>
        <v>11</v>
      </c>
      <c r="T20" s="6" t="str">
        <f t="shared" si="7"/>
        <v>$S$20:$S$23</v>
      </c>
      <c r="U20" s="6">
        <f t="shared" ca="1" si="8"/>
        <v>1</v>
      </c>
      <c r="V20" s="6" t="str">
        <f t="shared" si="9"/>
        <v>$U$20:$U$20</v>
      </c>
      <c r="W20" s="6">
        <f t="shared" ca="1" si="10"/>
        <v>1</v>
      </c>
      <c r="X20" s="89">
        <f t="shared" ca="1" si="11"/>
        <v>23</v>
      </c>
      <c r="Y20" s="82" t="str">
        <f t="shared" ca="1" si="12"/>
        <v>Fix 1</v>
      </c>
      <c r="Z20" s="91">
        <f t="shared" ca="1" si="13"/>
        <v>0</v>
      </c>
      <c r="AA20" s="91">
        <f t="shared" ca="1" si="14"/>
        <v>0</v>
      </c>
      <c r="AB20" s="90" t="str">
        <f t="array" aca="1" ref="AB20" ca="1">IF(is_empty,"",IF(is_header,"% Compl.", IFERROR(out_tracked/out_budget,"-")))</f>
        <v>-</v>
      </c>
      <c r="AC20" s="91">
        <f t="array" aca="1" ref="AC20" ca="1">IF(is_empty,"", IF(is_header, "Remaining", IF(out_budget - out_tracked &gt; 0, out_budget - out_tracked,0)))</f>
        <v>0</v>
      </c>
      <c r="AD20" s="91">
        <f t="shared" ca="1" si="15"/>
        <v>0</v>
      </c>
      <c r="AF20" s="98"/>
      <c r="AI20" s="112" t="str">
        <f>Calculations!D38</f>
        <v/>
      </c>
      <c r="AJ20" s="113" t="str">
        <f>Calculations!E38</f>
        <v/>
      </c>
      <c r="AK20" s="99"/>
      <c r="AM20" s="98"/>
      <c r="AP20" s="112" t="str">
        <f>Calculations!H38</f>
        <v/>
      </c>
      <c r="AQ20" s="113" t="str">
        <f>Calculations!I38</f>
        <v/>
      </c>
      <c r="AR20" s="99"/>
      <c r="AT20" s="98"/>
      <c r="BF20" s="99"/>
      <c r="BH20" s="98"/>
      <c r="BQ20" s="99"/>
    </row>
    <row r="21" spans="3:69" x14ac:dyDescent="0.3">
      <c r="C21" s="83">
        <f t="array" ref="C21">IF(C20=-1,-1,
  IF(C20&lt;income_max_row,C20+1,
   IF(C20=income_max_row,income_total_row,
    IF(C20=income_total_row,"/1",
     IF(C20="/1",Fixkosten_Header_Row,
      IF(C20&lt;fixed_costs_max_row,C20+1,
       IF(C20=fixed_costs_max_row,fixed_costs_total_row,
        IF(C20=fixed_costs_total_row,"/2",
         IF(C20="/2",Variablekosten_Header_Row,
          IF(C20&lt;variable_costs_max_row,C20+1,
           IF(C20=variable_costs_max_row,variable_costs_total_row,
            IF(C20=variable_costs_total_row,"/3",
             IF(C20="/3",Investment_Header_Row,
              IF(C20&lt;investment_max_row,C20+1,
               IF(C20=investment_max_row,investment_total_row,-1)))))))))))))))</f>
        <v>24</v>
      </c>
      <c r="D21" s="84">
        <f t="shared" si="16"/>
        <v>22</v>
      </c>
      <c r="E21" s="83">
        <f t="array" ref="E21">1*OR(row_id=Einkommen_Header_Row,row_id=Fixkosten_Header_Row,row_id=Variablekosten_Header_Row,row_id=Investment_Header_Row)</f>
        <v>0</v>
      </c>
      <c r="F21" s="82">
        <f t="shared" si="0"/>
        <v>1</v>
      </c>
      <c r="G21" s="82">
        <f t="array" ref="G21">1*OR(row_id=income_total_row,row_id=fixed_costs_total_row,row_id=variable_costs_total_row,row_id=investment_total_row)</f>
        <v>0</v>
      </c>
      <c r="H21" s="82">
        <f t="shared" si="1"/>
        <v>0</v>
      </c>
      <c r="I21" s="83" t="str">
        <f t="array" ref="I21">IFERROR(INDEX('Budget Planning'!$C:$C,header_row_id),"")</f>
        <v>Fixkosten</v>
      </c>
      <c r="J21" s="82" t="str">
        <f t="array" ref="J21">IFERROR(INDEX('Budget Planning'!$C:$C,row_id),"")</f>
        <v>Fix 2</v>
      </c>
      <c r="K21" s="85" cm="1">
        <f t="array" aca="1" ref="K21"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1" s="86">
        <f t="array" aca="1" ref="L21" ca="1">IF(OR(is_header,is_empty),"",
INDEX('Budget Planning'!$E:$FA,row_id,
MATCH(IF(selected_period="Jahresübersicht",selected_year,DATE(selected_year,selected_period,1)),'Budget Planning'!$E$9:$FA$9,0)))</f>
        <v>0</v>
      </c>
      <c r="M21" s="87">
        <f t="array" ref="M21">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20</v>
      </c>
      <c r="N21" s="88">
        <f t="array" ref="N21">IF(is_cat,
  IF(header_row_id=Einkommen_Header_Row, MATCH(income_max_row, $C:$C, 0),
  IF(header_row_id=Fixkosten_Header_Row, MATCH(fixed_costs_max_row, $C:$C, 0),
  IF(header_row_id=Variablekosten_Header_Row, MATCH(variable_costs_max_row, $C:$C, 0),
  IF(header_row_id=Investment_Header_Row, MATCH(investment_max_row, $C:$C, 0),
  "")))),"")</f>
        <v>23</v>
      </c>
      <c r="O21" s="87" t="str">
        <f t="shared" si="2"/>
        <v>$K$20:$K$23</v>
      </c>
      <c r="P21" s="6">
        <f t="shared" ca="1" si="3"/>
        <v>1</v>
      </c>
      <c r="Q21" s="6" t="str">
        <f t="shared" si="4"/>
        <v>$L$20:$L$23</v>
      </c>
      <c r="R21" s="88">
        <f t="shared" ca="1" si="5"/>
        <v>1</v>
      </c>
      <c r="S21" s="87">
        <f t="shared" ca="1" si="6"/>
        <v>11</v>
      </c>
      <c r="T21" s="6" t="str">
        <f t="shared" si="7"/>
        <v>$S$20:$S$23</v>
      </c>
      <c r="U21" s="6">
        <f t="shared" ca="1" si="8"/>
        <v>1</v>
      </c>
      <c r="V21" s="6" t="str">
        <f t="shared" si="9"/>
        <v>$U$20:$U$21</v>
      </c>
      <c r="W21" s="6">
        <f t="shared" ca="1" si="10"/>
        <v>2</v>
      </c>
      <c r="X21" s="89">
        <f t="shared" ca="1" si="11"/>
        <v>24</v>
      </c>
      <c r="Y21" s="82" t="str">
        <f t="shared" ca="1" si="12"/>
        <v>Fix 2</v>
      </c>
      <c r="Z21" s="91">
        <f t="shared" ca="1" si="13"/>
        <v>0</v>
      </c>
      <c r="AA21" s="91">
        <f t="shared" ca="1" si="14"/>
        <v>0</v>
      </c>
      <c r="AB21" s="90" t="str">
        <f t="array" aca="1" ref="AB21" ca="1">IF(is_empty,"",IF(is_header,"% Compl.", IFERROR(out_tracked/out_budget,"-")))</f>
        <v>-</v>
      </c>
      <c r="AC21" s="91">
        <f t="array" aca="1" ref="AC21" ca="1">IF(is_empty,"", IF(is_header, "Remaining", IF(out_budget - out_tracked &gt; 0, out_budget - out_tracked,0)))</f>
        <v>0</v>
      </c>
      <c r="AD21" s="91">
        <f t="shared" ca="1" si="15"/>
        <v>0</v>
      </c>
      <c r="AF21" s="98"/>
      <c r="AI21" s="112" t="str">
        <f ca="1">Calculations!D39</f>
        <v/>
      </c>
      <c r="AJ21" s="113" t="str">
        <f ca="1">Calculations!E39</f>
        <v/>
      </c>
      <c r="AK21" s="99"/>
      <c r="AM21" s="98"/>
      <c r="AP21" s="112" t="str">
        <f>Calculations!H39</f>
        <v/>
      </c>
      <c r="AQ21" s="113" t="str">
        <f>Calculations!I39</f>
        <v/>
      </c>
      <c r="AR21" s="99"/>
      <c r="AT21" s="98"/>
      <c r="BF21" s="99"/>
      <c r="BH21" s="98"/>
      <c r="BQ21" s="99"/>
    </row>
    <row r="22" spans="3:69" x14ac:dyDescent="0.3">
      <c r="C22" s="83">
        <f t="array" ref="C22">IF(C21=-1,-1,
  IF(C21&lt;income_max_row,C21+1,
   IF(C21=income_max_row,income_total_row,
    IF(C21=income_total_row,"/1",
     IF(C21="/1",Fixkosten_Header_Row,
      IF(C21&lt;fixed_costs_max_row,C21+1,
       IF(C21=fixed_costs_max_row,fixed_costs_total_row,
        IF(C21=fixed_costs_total_row,"/2",
         IF(C21="/2",Variablekosten_Header_Row,
          IF(C21&lt;variable_costs_max_row,C21+1,
           IF(C21=variable_costs_max_row,variable_costs_total_row,
            IF(C21=variable_costs_total_row,"/3",
             IF(C21="/3",Investment_Header_Row,
              IF(C21&lt;investment_max_row,C21+1,
               IF(C21=investment_max_row,investment_total_row,-1)))))))))))))))</f>
        <v>25</v>
      </c>
      <c r="D22" s="84">
        <f t="shared" si="16"/>
        <v>22</v>
      </c>
      <c r="E22" s="83">
        <f t="array" ref="E22">1*OR(row_id=Einkommen_Header_Row,row_id=Fixkosten_Header_Row,row_id=Variablekosten_Header_Row,row_id=Investment_Header_Row)</f>
        <v>0</v>
      </c>
      <c r="F22" s="82">
        <f t="shared" si="0"/>
        <v>1</v>
      </c>
      <c r="G22" s="82">
        <f t="array" ref="G22">1*OR(row_id=income_total_row,row_id=fixed_costs_total_row,row_id=variable_costs_total_row,row_id=investment_total_row)</f>
        <v>0</v>
      </c>
      <c r="H22" s="82">
        <f t="shared" si="1"/>
        <v>0</v>
      </c>
      <c r="I22" s="83" t="str">
        <f t="array" ref="I22">IFERROR(INDEX('Budget Planning'!$C:$C,header_row_id),"")</f>
        <v>Fixkosten</v>
      </c>
      <c r="J22" s="82" t="str">
        <f t="array" ref="J22">IFERROR(INDEX('Budget Planning'!$C:$C,row_id),"")</f>
        <v>Fix 3</v>
      </c>
      <c r="K22" s="85" cm="1">
        <f t="array" aca="1" ref="K22"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2" s="86">
        <f t="array" aca="1" ref="L22" ca="1">IF(OR(is_header,is_empty),"",
INDEX('Budget Planning'!$E:$FA,row_id,
MATCH(IF(selected_period="Jahresübersicht",selected_year,DATE(selected_year,selected_period,1)),'Budget Planning'!$E$9:$FA$9,0)))</f>
        <v>0</v>
      </c>
      <c r="M22" s="87">
        <f t="array" ref="M22">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20</v>
      </c>
      <c r="N22" s="88">
        <f t="array" ref="N22">IF(is_cat,
  IF(header_row_id=Einkommen_Header_Row, MATCH(income_max_row, $C:$C, 0),
  IF(header_row_id=Fixkosten_Header_Row, MATCH(fixed_costs_max_row, $C:$C, 0),
  IF(header_row_id=Variablekosten_Header_Row, MATCH(variable_costs_max_row, $C:$C, 0),
  IF(header_row_id=Investment_Header_Row, MATCH(investment_max_row, $C:$C, 0),
  "")))),"")</f>
        <v>23</v>
      </c>
      <c r="O22" s="87" t="str">
        <f t="shared" si="2"/>
        <v>$K$20:$K$23</v>
      </c>
      <c r="P22" s="6">
        <f t="shared" ca="1" si="3"/>
        <v>1</v>
      </c>
      <c r="Q22" s="6" t="str">
        <f t="shared" si="4"/>
        <v>$L$20:$L$23</v>
      </c>
      <c r="R22" s="88">
        <f t="shared" ca="1" si="5"/>
        <v>1</v>
      </c>
      <c r="S22" s="87">
        <f t="shared" ca="1" si="6"/>
        <v>11</v>
      </c>
      <c r="T22" s="6" t="str">
        <f t="shared" si="7"/>
        <v>$S$20:$S$23</v>
      </c>
      <c r="U22" s="6">
        <f t="shared" ca="1" si="8"/>
        <v>1</v>
      </c>
      <c r="V22" s="6" t="str">
        <f t="shared" si="9"/>
        <v>$U$20:$U$22</v>
      </c>
      <c r="W22" s="6">
        <f t="shared" ca="1" si="10"/>
        <v>3</v>
      </c>
      <c r="X22" s="89">
        <f t="shared" ca="1" si="11"/>
        <v>25</v>
      </c>
      <c r="Y22" s="82" t="str">
        <f t="shared" ca="1" si="12"/>
        <v>Fix 3</v>
      </c>
      <c r="Z22" s="91">
        <f t="shared" ca="1" si="13"/>
        <v>0</v>
      </c>
      <c r="AA22" s="91">
        <f t="shared" ca="1" si="14"/>
        <v>0</v>
      </c>
      <c r="AB22" s="90" t="str">
        <f t="array" aca="1" ref="AB22" ca="1">IF(is_empty,"",IF(is_header,"% Compl.", IFERROR(out_tracked/out_budget,"-")))</f>
        <v>-</v>
      </c>
      <c r="AC22" s="91">
        <f t="array" aca="1" ref="AC22" ca="1">IF(is_empty,"", IF(is_header, "Remaining", IF(out_budget - out_tracked &gt; 0, out_budget - out_tracked,0)))</f>
        <v>0</v>
      </c>
      <c r="AD22" s="91">
        <f t="shared" ca="1" si="15"/>
        <v>0</v>
      </c>
      <c r="AF22" s="98"/>
      <c r="AI22" s="114" t="str">
        <f>Calculations!D40</f>
        <v>Total</v>
      </c>
      <c r="AJ22" s="115">
        <f ca="1">Calculations!E40</f>
        <v>0</v>
      </c>
      <c r="AK22" s="99"/>
      <c r="AM22" s="98"/>
      <c r="AP22" s="114" t="str">
        <f>Calculations!H40</f>
        <v>Total</v>
      </c>
      <c r="AQ22" s="115">
        <f ca="1">Calculations!I40</f>
        <v>0</v>
      </c>
      <c r="AR22" s="99"/>
      <c r="AT22" s="98"/>
      <c r="BF22" s="99"/>
      <c r="BH22" s="98"/>
      <c r="BQ22" s="99"/>
    </row>
    <row r="23" spans="3:69" x14ac:dyDescent="0.3">
      <c r="C23" s="83">
        <f t="array" ref="C23">IF(C22=-1,-1,
  IF(C22&lt;income_max_row,C22+1,
   IF(C22=income_max_row,income_total_row,
    IF(C22=income_total_row,"/1",
     IF(C22="/1",Fixkosten_Header_Row,
      IF(C22&lt;fixed_costs_max_row,C22+1,
       IF(C22=fixed_costs_max_row,fixed_costs_total_row,
        IF(C22=fixed_costs_total_row,"/2",
         IF(C22="/2",Variablekosten_Header_Row,
          IF(C22&lt;variable_costs_max_row,C22+1,
           IF(C22=variable_costs_max_row,variable_costs_total_row,
            IF(C22=variable_costs_total_row,"/3",
             IF(C22="/3",Investment_Header_Row,
              IF(C22&lt;investment_max_row,C22+1,
               IF(C22=investment_max_row,investment_total_row,-1)))))))))))))))</f>
        <v>26</v>
      </c>
      <c r="D23" s="84">
        <f t="shared" si="16"/>
        <v>22</v>
      </c>
      <c r="E23" s="83">
        <f t="array" ref="E23">1*OR(row_id=Einkommen_Header_Row,row_id=Fixkosten_Header_Row,row_id=Variablekosten_Header_Row,row_id=Investment_Header_Row)</f>
        <v>0</v>
      </c>
      <c r="F23" s="82">
        <f t="shared" si="0"/>
        <v>1</v>
      </c>
      <c r="G23" s="82">
        <f t="array" ref="G23">1*OR(row_id=income_total_row,row_id=fixed_costs_total_row,row_id=variable_costs_total_row,row_id=investment_total_row)</f>
        <v>0</v>
      </c>
      <c r="H23" s="82">
        <f t="shared" si="1"/>
        <v>0</v>
      </c>
      <c r="I23" s="83" t="str">
        <f t="array" ref="I23">IFERROR(INDEX('Budget Planning'!$C:$C,header_row_id),"")</f>
        <v>Fixkosten</v>
      </c>
      <c r="J23" s="82" t="str">
        <f t="array" ref="J23">IFERROR(INDEX('Budget Planning'!$C:$C,row_id),"")</f>
        <v>Fix 4</v>
      </c>
      <c r="K23" s="85" cm="1">
        <f t="array" aca="1" ref="K23"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3" s="86">
        <f t="array" aca="1" ref="L23" ca="1">IF(OR(is_header,is_empty),"",
INDEX('Budget Planning'!$E:$FA,row_id,
MATCH(IF(selected_period="Jahresübersicht",selected_year,DATE(selected_year,selected_period,1)),'Budget Planning'!$E$9:$FA$9,0)))</f>
        <v>0</v>
      </c>
      <c r="M23" s="87">
        <f t="array" ref="M23">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20</v>
      </c>
      <c r="N23" s="88">
        <f t="array" ref="N23">IF(is_cat,
  IF(header_row_id=Einkommen_Header_Row, MATCH(income_max_row, $C:$C, 0),
  IF(header_row_id=Fixkosten_Header_Row, MATCH(fixed_costs_max_row, $C:$C, 0),
  IF(header_row_id=Variablekosten_Header_Row, MATCH(variable_costs_max_row, $C:$C, 0),
  IF(header_row_id=Investment_Header_Row, MATCH(investment_max_row, $C:$C, 0),
  "")))),"")</f>
        <v>23</v>
      </c>
      <c r="O23" s="87" t="str">
        <f t="shared" si="2"/>
        <v>$K$20:$K$23</v>
      </c>
      <c r="P23" s="6">
        <f t="shared" ca="1" si="3"/>
        <v>1</v>
      </c>
      <c r="Q23" s="6" t="str">
        <f t="shared" si="4"/>
        <v>$L$20:$L$23</v>
      </c>
      <c r="R23" s="88">
        <f t="shared" ca="1" si="5"/>
        <v>1</v>
      </c>
      <c r="S23" s="87">
        <f t="shared" ca="1" si="6"/>
        <v>11</v>
      </c>
      <c r="T23" s="6" t="str">
        <f t="shared" si="7"/>
        <v>$S$20:$S$23</v>
      </c>
      <c r="U23" s="6">
        <f t="shared" ca="1" si="8"/>
        <v>1</v>
      </c>
      <c r="V23" s="6" t="str">
        <f t="shared" si="9"/>
        <v>$U$20:$U$23</v>
      </c>
      <c r="W23" s="6">
        <f t="shared" ca="1" si="10"/>
        <v>4</v>
      </c>
      <c r="X23" s="89">
        <f t="shared" ca="1" si="11"/>
        <v>26</v>
      </c>
      <c r="Y23" s="82" t="str">
        <f t="shared" ca="1" si="12"/>
        <v>Fix 4</v>
      </c>
      <c r="Z23" s="91">
        <f t="shared" ca="1" si="13"/>
        <v>0</v>
      </c>
      <c r="AA23" s="91">
        <f t="shared" ca="1" si="14"/>
        <v>0</v>
      </c>
      <c r="AB23" s="90" t="str">
        <f t="array" aca="1" ref="AB23" ca="1">IF(is_empty,"",IF(is_header,"% Compl.", IFERROR(out_tracked/out_budget,"-")))</f>
        <v>-</v>
      </c>
      <c r="AC23" s="91">
        <f t="array" aca="1" ref="AC23" ca="1">IF(is_empty,"", IF(is_header, "Remaining", IF(out_budget - out_tracked &gt; 0, out_budget - out_tracked,0)))</f>
        <v>0</v>
      </c>
      <c r="AD23" s="91">
        <f t="shared" ca="1" si="15"/>
        <v>0</v>
      </c>
      <c r="AF23" s="98"/>
      <c r="AK23" s="99"/>
      <c r="AM23" s="98"/>
      <c r="AR23" s="99"/>
      <c r="AT23" s="98"/>
      <c r="BF23" s="99"/>
      <c r="BH23" s="98"/>
      <c r="BQ23" s="99"/>
    </row>
    <row r="24" spans="3:69" x14ac:dyDescent="0.3">
      <c r="C24" s="83">
        <f t="array" ref="C24">IF(C23=-1,-1,
  IF(C23&lt;income_max_row,C23+1,
   IF(C23=income_max_row,income_total_row,
    IF(C23=income_total_row,"/1",
     IF(C23="/1",Fixkosten_Header_Row,
      IF(C23&lt;fixed_costs_max_row,C23+1,
       IF(C23=fixed_costs_max_row,fixed_costs_total_row,
        IF(C23=fixed_costs_total_row,"/2",
         IF(C23="/2",Variablekosten_Header_Row,
          IF(C23&lt;variable_costs_max_row,C23+1,
           IF(C23=variable_costs_max_row,variable_costs_total_row,
            IF(C23=variable_costs_total_row,"/3",
             IF(C23="/3",Investment_Header_Row,
              IF(C23&lt;investment_max_row,C23+1,
               IF(C23=investment_max_row,investment_total_row,-1)))))))))))))))</f>
        <v>33</v>
      </c>
      <c r="D24" s="84">
        <f t="shared" si="16"/>
        <v>22</v>
      </c>
      <c r="E24" s="83">
        <f t="array" ref="E24">1*OR(row_id=Einkommen_Header_Row,row_id=Fixkosten_Header_Row,row_id=Variablekosten_Header_Row,row_id=Investment_Header_Row)</f>
        <v>0</v>
      </c>
      <c r="F24" s="82">
        <f t="shared" si="0"/>
        <v>0</v>
      </c>
      <c r="G24" s="82">
        <f t="array" ref="G24">1*OR(row_id=income_total_row,row_id=fixed_costs_total_row,row_id=variable_costs_total_row,row_id=investment_total_row)</f>
        <v>1</v>
      </c>
      <c r="H24" s="82">
        <f t="shared" si="1"/>
        <v>0</v>
      </c>
      <c r="I24" s="83" t="str">
        <f t="array" ref="I24">IFERROR(INDEX('Budget Planning'!$C:$C,header_row_id),"")</f>
        <v>Fixkosten</v>
      </c>
      <c r="J24" s="82" t="str">
        <f t="array" ref="J24">IFERROR(INDEX('Budget Planning'!$C:$C,row_id),"")</f>
        <v>Total</v>
      </c>
      <c r="K24" s="85" cm="1">
        <f t="array" aca="1" ref="K24"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4" s="86">
        <f t="array" aca="1" ref="L24" ca="1">IF(OR(is_header,is_empty),"",
INDEX('Budget Planning'!$E:$FA,row_id,
MATCH(IF(selected_period="Jahresübersicht",selected_year,DATE(selected_year,selected_period,1)),'Budget Planning'!$E$9:$FA$9,0)))</f>
        <v>0</v>
      </c>
      <c r="M24" s="87" t="str">
        <f t="array" ref="M24">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24" s="88" t="str">
        <f t="array" ref="N24">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24" s="87" t="str">
        <f t="shared" si="2"/>
        <v/>
      </c>
      <c r="P24" s="6" t="str">
        <f t="shared" ca="1" si="3"/>
        <v/>
      </c>
      <c r="Q24" s="6" t="str">
        <f t="shared" si="4"/>
        <v/>
      </c>
      <c r="R24" s="88" t="str">
        <f t="shared" ca="1" si="5"/>
        <v/>
      </c>
      <c r="S24" s="87" t="str">
        <f t="shared" si="6"/>
        <v/>
      </c>
      <c r="T24" s="6" t="str">
        <f t="shared" si="7"/>
        <v/>
      </c>
      <c r="U24" s="6" t="str">
        <f t="shared" ca="1" si="8"/>
        <v/>
      </c>
      <c r="V24" s="6" t="str">
        <f t="shared" si="9"/>
        <v/>
      </c>
      <c r="W24" s="6" t="str">
        <f t="shared" ca="1" si="10"/>
        <v/>
      </c>
      <c r="X24" s="89">
        <f t="shared" si="11"/>
        <v>33</v>
      </c>
      <c r="Y24" s="82" t="str">
        <f t="shared" ca="1" si="12"/>
        <v>Total</v>
      </c>
      <c r="Z24" s="91">
        <f t="shared" ca="1" si="13"/>
        <v>0</v>
      </c>
      <c r="AA24" s="91">
        <f t="shared" ca="1" si="14"/>
        <v>0</v>
      </c>
      <c r="AB24" s="90" t="str">
        <f t="array" aca="1" ref="AB24" ca="1">IF(is_empty,"",IF(is_header,"% Compl.", IFERROR(out_tracked/out_budget,"-")))</f>
        <v>-</v>
      </c>
      <c r="AC24" s="91">
        <f t="array" aca="1" ref="AC24" ca="1">IF(is_empty,"", IF(is_header, "Remaining", IF(out_budget - out_tracked &gt; 0, out_budget - out_tracked,0)))</f>
        <v>0</v>
      </c>
      <c r="AD24" s="91">
        <f t="shared" ca="1" si="15"/>
        <v>0</v>
      </c>
      <c r="AF24" s="98"/>
      <c r="AK24" s="99"/>
      <c r="AM24" s="98"/>
      <c r="AR24" s="99"/>
      <c r="AT24" s="98"/>
      <c r="BF24" s="99"/>
      <c r="BH24" s="98"/>
      <c r="BQ24" s="99"/>
    </row>
    <row r="25" spans="3:69" x14ac:dyDescent="0.3">
      <c r="C25" s="83" t="str">
        <f t="array" ref="C25">IF(C24=-1,-1,
  IF(C24&lt;income_max_row,C24+1,
   IF(C24=income_max_row,income_total_row,
    IF(C24=income_total_row,"/1",
     IF(C24="/1",Fixkosten_Header_Row,
      IF(C24&lt;fixed_costs_max_row,C24+1,
       IF(C24=fixed_costs_max_row,fixed_costs_total_row,
        IF(C24=fixed_costs_total_row,"/2",
         IF(C24="/2",Variablekosten_Header_Row,
          IF(C24&lt;variable_costs_max_row,C24+1,
           IF(C24=variable_costs_max_row,variable_costs_total_row,
            IF(C24=variable_costs_total_row,"/3",
             IF(C24="/3",Investment_Header_Row,
              IF(C24&lt;investment_max_row,C24+1,
               IF(C24=investment_max_row,investment_total_row,-1)))))))))))))))</f>
        <v>/2</v>
      </c>
      <c r="D25" s="84">
        <f t="shared" si="16"/>
        <v>-1</v>
      </c>
      <c r="E25" s="83">
        <f t="array" ref="E25">1*OR(row_id=Einkommen_Header_Row,row_id=Fixkosten_Header_Row,row_id=Variablekosten_Header_Row,row_id=Investment_Header_Row)</f>
        <v>0</v>
      </c>
      <c r="F25" s="82">
        <f t="shared" si="0"/>
        <v>0</v>
      </c>
      <c r="G25" s="82">
        <f t="array" ref="G25">1*OR(row_id=income_total_row,row_id=fixed_costs_total_row,row_id=variable_costs_total_row,row_id=investment_total_row)</f>
        <v>0</v>
      </c>
      <c r="H25" s="82">
        <f t="shared" si="1"/>
        <v>1</v>
      </c>
      <c r="I25" s="83" t="str">
        <f t="array" ref="I25">IFERROR(INDEX('Budget Planning'!$C:$C,header_row_id),"")</f>
        <v/>
      </c>
      <c r="J25" s="82" t="str">
        <f t="array" ref="J25">IFERROR(INDEX('Budget Planning'!$C:$C,row_id),"")</f>
        <v/>
      </c>
      <c r="K25" s="85" t="str" cm="1">
        <f t="array" ref="K25">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25" s="86" t="str">
        <f t="array" ref="L25">IF(OR(is_header,is_empty),"",
INDEX('Budget Planning'!$E:$FA,row_id,
MATCH(IF(selected_period="Jahresübersicht",selected_year,DATE(selected_year,selected_period,1)),'Budget Planning'!$E$9:$FA$9,0)))</f>
        <v/>
      </c>
      <c r="M25" s="87" t="str">
        <f t="array" ref="M25">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25" s="88" t="str">
        <f t="array" ref="N25">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25" s="87" t="str">
        <f t="shared" si="2"/>
        <v/>
      </c>
      <c r="P25" s="6" t="str">
        <f t="shared" ca="1" si="3"/>
        <v/>
      </c>
      <c r="Q25" s="6" t="str">
        <f t="shared" si="4"/>
        <v/>
      </c>
      <c r="R25" s="88" t="str">
        <f t="shared" ca="1" si="5"/>
        <v/>
      </c>
      <c r="S25" s="87" t="str">
        <f t="shared" si="6"/>
        <v/>
      </c>
      <c r="T25" s="6" t="str">
        <f t="shared" si="7"/>
        <v/>
      </c>
      <c r="U25" s="6" t="str">
        <f t="shared" ca="1" si="8"/>
        <v/>
      </c>
      <c r="V25" s="6" t="str">
        <f t="shared" si="9"/>
        <v/>
      </c>
      <c r="W25" s="6" t="str">
        <f t="shared" ca="1" si="10"/>
        <v/>
      </c>
      <c r="X25" s="89" t="str">
        <f t="shared" si="11"/>
        <v>/2</v>
      </c>
      <c r="Y25" s="82" t="str">
        <f t="shared" si="12"/>
        <v/>
      </c>
      <c r="Z25" s="91" t="str">
        <f t="shared" si="13"/>
        <v/>
      </c>
      <c r="AA25" s="91" t="str">
        <f t="shared" si="14"/>
        <v/>
      </c>
      <c r="AB25" s="90" t="str">
        <f t="array" ref="AB25">IF(is_empty,"",IF(is_header,"% Compl.", IFERROR(out_tracked/out_budget,"-")))</f>
        <v/>
      </c>
      <c r="AC25" s="91" t="str">
        <f t="array" ref="AC25">IF(is_empty,"", IF(is_header, "Remaining", IF(out_budget - out_tracked &gt; 0, out_budget - out_tracked,0)))</f>
        <v/>
      </c>
      <c r="AD25" s="91" t="str">
        <f t="shared" si="15"/>
        <v/>
      </c>
      <c r="AF25" s="100"/>
      <c r="AG25" s="101"/>
      <c r="AH25" s="101"/>
      <c r="AI25" s="101"/>
      <c r="AJ25" s="101"/>
      <c r="AK25" s="102"/>
      <c r="AM25" s="100"/>
      <c r="AN25" s="101"/>
      <c r="AO25" s="101"/>
      <c r="AP25" s="101"/>
      <c r="AQ25" s="101"/>
      <c r="AR25" s="102"/>
      <c r="AT25" s="100"/>
      <c r="AU25" s="101"/>
      <c r="AV25" s="101"/>
      <c r="AW25" s="101"/>
      <c r="AX25" s="101"/>
      <c r="AY25" s="101"/>
      <c r="AZ25" s="101"/>
      <c r="BA25" s="101"/>
      <c r="BB25" s="101"/>
      <c r="BC25" s="101"/>
      <c r="BD25" s="101"/>
      <c r="BE25" s="101"/>
      <c r="BF25" s="102"/>
      <c r="BH25" s="100"/>
      <c r="BI25" s="101"/>
      <c r="BJ25" s="101"/>
      <c r="BK25" s="101"/>
      <c r="BL25" s="101"/>
      <c r="BM25" s="101"/>
      <c r="BN25" s="101"/>
      <c r="BO25" s="101"/>
      <c r="BP25" s="101"/>
      <c r="BQ25" s="102"/>
    </row>
    <row r="26" spans="3:69" x14ac:dyDescent="0.3">
      <c r="C26" s="83">
        <f t="array" ref="C26">IF(C25=-1,-1,
  IF(C25&lt;income_max_row,C25+1,
   IF(C25=income_max_row,income_total_row,
    IF(C25=income_total_row,"/1",
     IF(C25="/1",Fixkosten_Header_Row,
      IF(C25&lt;fixed_costs_max_row,C25+1,
       IF(C25=fixed_costs_max_row,fixed_costs_total_row,
        IF(C25=fixed_costs_total_row,"/2",
         IF(C25="/2",Variablekosten_Header_Row,
          IF(C25&lt;variable_costs_max_row,C25+1,
           IF(C25=variable_costs_max_row,variable_costs_total_row,
            IF(C25=variable_costs_total_row,"/3",
             IF(C25="/3",Investment_Header_Row,
              IF(C25&lt;investment_max_row,C25+1,
               IF(C25=investment_max_row,investment_total_row,-1)))))))))))))))</f>
        <v>35</v>
      </c>
      <c r="D26" s="84">
        <f t="shared" si="16"/>
        <v>35</v>
      </c>
      <c r="E26" s="83">
        <f t="array" ref="E26">1*OR(row_id=Einkommen_Header_Row,row_id=Fixkosten_Header_Row,row_id=Variablekosten_Header_Row,row_id=Investment_Header_Row)</f>
        <v>1</v>
      </c>
      <c r="F26" s="82">
        <f t="shared" si="0"/>
        <v>0</v>
      </c>
      <c r="G26" s="82">
        <f t="array" ref="G26">1*OR(row_id=income_total_row,row_id=fixed_costs_total_row,row_id=variable_costs_total_row,row_id=investment_total_row)</f>
        <v>0</v>
      </c>
      <c r="H26" s="82">
        <f t="shared" si="1"/>
        <v>0</v>
      </c>
      <c r="I26" s="83" t="str">
        <f t="array" ref="I26">IFERROR(INDEX('Budget Planning'!$C:$C,header_row_id),"")</f>
        <v>Variablekosten</v>
      </c>
      <c r="J26" s="82" t="str">
        <f t="array" ref="J26">IFERROR(INDEX('Budget Planning'!$C:$C,row_id),"")</f>
        <v>Variablekosten</v>
      </c>
      <c r="K26" s="85" t="str" cm="1">
        <f t="array" ref="K26">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26" s="86" t="str">
        <f t="array" ref="L26">IF(OR(is_header,is_empty),"",
INDEX('Budget Planning'!$E:$FA,row_id,
MATCH(IF(selected_period="Jahresübersicht",selected_year,DATE(selected_year,selected_period,1)),'Budget Planning'!$E$9:$FA$9,0)))</f>
        <v/>
      </c>
      <c r="M26" s="87" t="str">
        <f t="array" ref="M26">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26" s="88" t="str">
        <f t="array" ref="N26">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26" s="87" t="str">
        <f t="shared" si="2"/>
        <v/>
      </c>
      <c r="P26" s="6" t="str">
        <f t="shared" ca="1" si="3"/>
        <v/>
      </c>
      <c r="Q26" s="6" t="str">
        <f t="shared" si="4"/>
        <v/>
      </c>
      <c r="R26" s="88" t="str">
        <f t="shared" ca="1" si="5"/>
        <v/>
      </c>
      <c r="S26" s="87" t="str">
        <f t="shared" si="6"/>
        <v/>
      </c>
      <c r="T26" s="6" t="str">
        <f t="shared" si="7"/>
        <v/>
      </c>
      <c r="U26" s="6" t="str">
        <f t="shared" ca="1" si="8"/>
        <v/>
      </c>
      <c r="V26" s="6" t="str">
        <f t="shared" si="9"/>
        <v/>
      </c>
      <c r="W26" s="6" t="str">
        <f t="shared" ca="1" si="10"/>
        <v/>
      </c>
      <c r="X26" s="89">
        <f t="shared" si="11"/>
        <v>35</v>
      </c>
      <c r="Y26" s="126" t="str">
        <f t="shared" ca="1" si="12"/>
        <v>Variablekosten</v>
      </c>
      <c r="Z26" s="91" t="str">
        <f t="shared" si="13"/>
        <v>Tracked</v>
      </c>
      <c r="AA26" s="91" t="str">
        <f t="shared" si="14"/>
        <v>Budget</v>
      </c>
      <c r="AB26" s="90" t="str">
        <f t="array" ref="AB26">IF(is_empty,"",IF(is_header,"% Compl.", IFERROR(out_tracked/out_budget,"-")))</f>
        <v>% Compl.</v>
      </c>
      <c r="AC26" s="91" t="str">
        <f t="array" ref="AC26">IF(is_empty,"", IF(is_header, "Remaining", IF(out_budget - out_tracked &gt; 0, out_budget - out_tracked,0)))</f>
        <v>Remaining</v>
      </c>
      <c r="AD26" s="91" t="str">
        <f t="shared" si="15"/>
        <v>Excess</v>
      </c>
    </row>
    <row r="27" spans="3:69" x14ac:dyDescent="0.3">
      <c r="C27" s="83">
        <f t="array" ref="C27">IF(C26=-1,-1,
  IF(C26&lt;income_max_row,C26+1,
   IF(C26=income_max_row,income_total_row,
    IF(C26=income_total_row,"/1",
     IF(C26="/1",Fixkosten_Header_Row,
      IF(C26&lt;fixed_costs_max_row,C26+1,
       IF(C26=fixed_costs_max_row,fixed_costs_total_row,
        IF(C26=fixed_costs_total_row,"/2",
         IF(C26="/2",Variablekosten_Header_Row,
          IF(C26&lt;variable_costs_max_row,C26+1,
           IF(C26=variable_costs_max_row,variable_costs_total_row,
            IF(C26=variable_costs_total_row,"/3",
             IF(C26="/3",Investment_Header_Row,
              IF(C26&lt;investment_max_row,C26+1,
               IF(C26=investment_max_row,investment_total_row,-1)))))))))))))))</f>
        <v>36</v>
      </c>
      <c r="D27" s="84">
        <f t="shared" si="16"/>
        <v>35</v>
      </c>
      <c r="E27" s="83">
        <f t="array" ref="E27">1*OR(row_id=Einkommen_Header_Row,row_id=Fixkosten_Header_Row,row_id=Variablekosten_Header_Row,row_id=Investment_Header_Row)</f>
        <v>0</v>
      </c>
      <c r="F27" s="82">
        <f t="shared" si="0"/>
        <v>1</v>
      </c>
      <c r="G27" s="82">
        <f t="array" ref="G27">1*OR(row_id=income_total_row,row_id=fixed_costs_total_row,row_id=variable_costs_total_row,row_id=investment_total_row)</f>
        <v>0</v>
      </c>
      <c r="H27" s="82">
        <f t="shared" si="1"/>
        <v>0</v>
      </c>
      <c r="I27" s="83" t="str">
        <f t="array" ref="I27">IFERROR(INDEX('Budget Planning'!$C:$C,header_row_id),"")</f>
        <v>Variablekosten</v>
      </c>
      <c r="J27" s="82" t="str">
        <f t="array" ref="J27">IFERROR(INDEX('Budget Planning'!$C:$C,row_id),"")</f>
        <v>Var 1</v>
      </c>
      <c r="K27" s="85" cm="1">
        <f t="array" aca="1" ref="K27"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7" s="86">
        <f t="array" aca="1" ref="L27" ca="1">IF(OR(is_header,is_empty),"",
INDEX('Budget Planning'!$E:$FA,row_id,
MATCH(IF(selected_period="Jahresübersicht",selected_year,DATE(selected_year,selected_period,1)),'Budget Planning'!$E$9:$FA$9,0)))</f>
        <v>0</v>
      </c>
      <c r="M27" s="87">
        <f t="array" ref="M27">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27</v>
      </c>
      <c r="N27" s="88">
        <f t="array" ref="N27">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31</v>
      </c>
      <c r="O27" s="87" t="str">
        <f t="shared" si="2"/>
        <v>$K$27:$K$31</v>
      </c>
      <c r="P27" s="6">
        <f t="shared" ca="1" si="3"/>
        <v>1</v>
      </c>
      <c r="Q27" s="6" t="str">
        <f t="shared" si="4"/>
        <v>$L$27:$L$31</v>
      </c>
      <c r="R27" s="88">
        <f t="shared" ca="1" si="5"/>
        <v>1</v>
      </c>
      <c r="S27" s="87">
        <f t="shared" ca="1" si="6"/>
        <v>11</v>
      </c>
      <c r="T27" s="6" t="str">
        <f t="shared" si="7"/>
        <v>$S$27:$S$31</v>
      </c>
      <c r="U27" s="6">
        <f t="shared" ca="1" si="8"/>
        <v>1</v>
      </c>
      <c r="V27" s="6" t="str">
        <f t="shared" si="9"/>
        <v>$U$27:$U$27</v>
      </c>
      <c r="W27" s="6">
        <f t="shared" ca="1" si="10"/>
        <v>1</v>
      </c>
      <c r="X27" s="89">
        <f t="shared" ca="1" si="11"/>
        <v>36</v>
      </c>
      <c r="Y27" s="82" t="str">
        <f t="shared" ca="1" si="12"/>
        <v>Var 1</v>
      </c>
      <c r="Z27" s="91">
        <f t="shared" ca="1" si="13"/>
        <v>0</v>
      </c>
      <c r="AA27" s="91">
        <f t="shared" ca="1" si="14"/>
        <v>0</v>
      </c>
      <c r="AB27" s="90" t="str">
        <f t="array" aca="1" ref="AB27" ca="1">IF(is_empty,"",IF(is_header,"% Compl.", IFERROR(out_tracked/out_budget,"-")))</f>
        <v>-</v>
      </c>
      <c r="AC27" s="91">
        <f t="array" aca="1" ref="AC27" ca="1">IF(is_empty,"", IF(is_header, "Remaining", IF(out_budget - out_tracked &gt; 0, out_budget - out_tracked,0)))</f>
        <v>0</v>
      </c>
      <c r="AD27" s="91">
        <f t="shared" ca="1" si="15"/>
        <v>0</v>
      </c>
      <c r="AF27" s="95"/>
      <c r="AG27" s="96"/>
      <c r="AH27" s="96"/>
      <c r="AI27" s="96"/>
      <c r="AJ27" s="96"/>
      <c r="AK27" s="97"/>
      <c r="AM27" s="95"/>
      <c r="AN27" s="96"/>
      <c r="AO27" s="96"/>
      <c r="AP27" s="96"/>
      <c r="AQ27" s="96"/>
      <c r="AR27" s="97"/>
      <c r="AT27" s="95"/>
      <c r="AU27" s="96"/>
      <c r="AV27" s="96"/>
      <c r="AW27" s="96"/>
      <c r="AX27" s="96"/>
      <c r="AY27" s="96"/>
      <c r="AZ27" s="96"/>
      <c r="BA27" s="96"/>
      <c r="BB27" s="96"/>
      <c r="BC27" s="96"/>
      <c r="BD27" s="96"/>
      <c r="BE27" s="96"/>
      <c r="BF27" s="97"/>
    </row>
    <row r="28" spans="3:69" x14ac:dyDescent="0.3">
      <c r="C28" s="83">
        <f t="array" ref="C28">IF(C27=-1,-1,
  IF(C27&lt;income_max_row,C27+1,
   IF(C27=income_max_row,income_total_row,
    IF(C27=income_total_row,"/1",
     IF(C27="/1",Fixkosten_Header_Row,
      IF(C27&lt;fixed_costs_max_row,C27+1,
       IF(C27=fixed_costs_max_row,fixed_costs_total_row,
        IF(C27=fixed_costs_total_row,"/2",
         IF(C27="/2",Variablekosten_Header_Row,
          IF(C27&lt;variable_costs_max_row,C27+1,
           IF(C27=variable_costs_max_row,variable_costs_total_row,
            IF(C27=variable_costs_total_row,"/3",
             IF(C27="/3",Investment_Header_Row,
              IF(C27&lt;investment_max_row,C27+1,
               IF(C27=investment_max_row,investment_total_row,-1)))))))))))))))</f>
        <v>37</v>
      </c>
      <c r="D28" s="84">
        <f t="shared" si="16"/>
        <v>35</v>
      </c>
      <c r="E28" s="83">
        <f t="array" ref="E28">1*OR(row_id=Einkommen_Header_Row,row_id=Fixkosten_Header_Row,row_id=Variablekosten_Header_Row,row_id=Investment_Header_Row)</f>
        <v>0</v>
      </c>
      <c r="F28" s="82">
        <f t="shared" si="0"/>
        <v>1</v>
      </c>
      <c r="G28" s="82">
        <f t="array" ref="G28">1*OR(row_id=income_total_row,row_id=fixed_costs_total_row,row_id=variable_costs_total_row,row_id=investment_total_row)</f>
        <v>0</v>
      </c>
      <c r="H28" s="82">
        <f t="shared" si="1"/>
        <v>0</v>
      </c>
      <c r="I28" s="83" t="str">
        <f t="array" ref="I28">IFERROR(INDEX('Budget Planning'!$C:$C,header_row_id),"")</f>
        <v>Variablekosten</v>
      </c>
      <c r="J28" s="82" t="str">
        <f t="array" ref="J28">IFERROR(INDEX('Budget Planning'!$C:$C,row_id),"")</f>
        <v>Var 2</v>
      </c>
      <c r="K28" s="85" cm="1">
        <f t="array" aca="1" ref="K28"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8" s="86">
        <f t="array" aca="1" ref="L28" ca="1">IF(OR(is_header,is_empty),"",
INDEX('Budget Planning'!$E:$FA,row_id,
MATCH(IF(selected_period="Jahresübersicht",selected_year,DATE(selected_year,selected_period,1)),'Budget Planning'!$E$9:$FA$9,0)))</f>
        <v>0</v>
      </c>
      <c r="M28" s="87">
        <f t="array" ref="M28">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27</v>
      </c>
      <c r="N28" s="88">
        <f t="array" ref="N28">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31</v>
      </c>
      <c r="O28" s="87" t="str">
        <f t="shared" si="2"/>
        <v>$K$27:$K$31</v>
      </c>
      <c r="P28" s="6">
        <f t="shared" ca="1" si="3"/>
        <v>1</v>
      </c>
      <c r="Q28" s="6" t="str">
        <f t="shared" si="4"/>
        <v>$L$27:$L$31</v>
      </c>
      <c r="R28" s="88">
        <f t="shared" ca="1" si="5"/>
        <v>1</v>
      </c>
      <c r="S28" s="87">
        <f t="shared" ca="1" si="6"/>
        <v>11</v>
      </c>
      <c r="T28" s="6" t="str">
        <f t="shared" si="7"/>
        <v>$S$27:$S$31</v>
      </c>
      <c r="U28" s="6">
        <f t="shared" ca="1" si="8"/>
        <v>1</v>
      </c>
      <c r="V28" s="6" t="str">
        <f t="shared" si="9"/>
        <v>$U$27:$U$28</v>
      </c>
      <c r="W28" s="6">
        <f t="shared" ca="1" si="10"/>
        <v>2</v>
      </c>
      <c r="X28" s="89">
        <f t="shared" ca="1" si="11"/>
        <v>37</v>
      </c>
      <c r="Y28" s="82" t="str">
        <f t="shared" ca="1" si="12"/>
        <v>Var 2</v>
      </c>
      <c r="Z28" s="91">
        <f t="shared" ca="1" si="13"/>
        <v>0</v>
      </c>
      <c r="AA28" s="91">
        <f t="shared" ca="1" si="14"/>
        <v>0</v>
      </c>
      <c r="AB28" s="90" t="str">
        <f t="array" aca="1" ref="AB28" ca="1">IF(is_empty,"",IF(is_header,"% Compl.", IFERROR(out_tracked/out_budget,"-")))</f>
        <v>-</v>
      </c>
      <c r="AC28" s="91">
        <f t="array" aca="1" ref="AC28" ca="1">IF(is_empty,"", IF(is_header, "Remaining", IF(out_budget - out_tracked &gt; 0, out_budget - out_tracked,0)))</f>
        <v>0</v>
      </c>
      <c r="AD28" s="91">
        <f t="shared" ca="1" si="15"/>
        <v>0</v>
      </c>
      <c r="AF28" s="98"/>
      <c r="AK28" s="99"/>
      <c r="AM28" s="98"/>
      <c r="AR28" s="99"/>
      <c r="AT28" s="98"/>
      <c r="BF28" s="99"/>
    </row>
    <row r="29" spans="3:69" x14ac:dyDescent="0.3">
      <c r="C29" s="83">
        <f t="array" ref="C29">IF(C28=-1,-1,
  IF(C28&lt;income_max_row,C28+1,
   IF(C28=income_max_row,income_total_row,
    IF(C28=income_total_row,"/1",
     IF(C28="/1",Fixkosten_Header_Row,
      IF(C28&lt;fixed_costs_max_row,C28+1,
       IF(C28=fixed_costs_max_row,fixed_costs_total_row,
        IF(C28=fixed_costs_total_row,"/2",
         IF(C28="/2",Variablekosten_Header_Row,
          IF(C28&lt;variable_costs_max_row,C28+1,
           IF(C28=variable_costs_max_row,variable_costs_total_row,
            IF(C28=variable_costs_total_row,"/3",
             IF(C28="/3",Investment_Header_Row,
              IF(C28&lt;investment_max_row,C28+1,
               IF(C28=investment_max_row,investment_total_row,-1)))))))))))))))</f>
        <v>38</v>
      </c>
      <c r="D29" s="84">
        <f t="shared" si="16"/>
        <v>35</v>
      </c>
      <c r="E29" s="83">
        <f t="array" ref="E29">1*OR(row_id=Einkommen_Header_Row,row_id=Fixkosten_Header_Row,row_id=Variablekosten_Header_Row,row_id=Investment_Header_Row)</f>
        <v>0</v>
      </c>
      <c r="F29" s="82">
        <f t="shared" si="0"/>
        <v>1</v>
      </c>
      <c r="G29" s="82">
        <f t="array" ref="G29">1*OR(row_id=income_total_row,row_id=fixed_costs_total_row,row_id=variable_costs_total_row,row_id=investment_total_row)</f>
        <v>0</v>
      </c>
      <c r="H29" s="82">
        <f t="shared" si="1"/>
        <v>0</v>
      </c>
      <c r="I29" s="83" t="str">
        <f t="array" ref="I29">IFERROR(INDEX('Budget Planning'!$C:$C,header_row_id),"")</f>
        <v>Variablekosten</v>
      </c>
      <c r="J29" s="82" t="str">
        <f t="array" ref="J29">IFERROR(INDEX('Budget Planning'!$C:$C,row_id),"")</f>
        <v>Var 3</v>
      </c>
      <c r="K29" s="85" cm="1">
        <f t="array" aca="1" ref="K29"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29" s="86">
        <f t="array" aca="1" ref="L29" ca="1">IF(OR(is_header,is_empty),"",
INDEX('Budget Planning'!$E:$FA,row_id,
MATCH(IF(selected_period="Jahresübersicht",selected_year,DATE(selected_year,selected_period,1)),'Budget Planning'!$E$9:$FA$9,0)))</f>
        <v>0</v>
      </c>
      <c r="M29" s="87">
        <f t="array" ref="M29">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27</v>
      </c>
      <c r="N29" s="88">
        <f t="array" ref="N29">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31</v>
      </c>
      <c r="O29" s="87" t="str">
        <f t="shared" si="2"/>
        <v>$K$27:$K$31</v>
      </c>
      <c r="P29" s="6">
        <f t="shared" ca="1" si="3"/>
        <v>1</v>
      </c>
      <c r="Q29" s="6" t="str">
        <f t="shared" si="4"/>
        <v>$L$27:$L$31</v>
      </c>
      <c r="R29" s="88">
        <f t="shared" ca="1" si="5"/>
        <v>1</v>
      </c>
      <c r="S29" s="87">
        <f t="shared" ca="1" si="6"/>
        <v>11</v>
      </c>
      <c r="T29" s="6" t="str">
        <f t="shared" si="7"/>
        <v>$S$27:$S$31</v>
      </c>
      <c r="U29" s="6">
        <f t="shared" ca="1" si="8"/>
        <v>1</v>
      </c>
      <c r="V29" s="6" t="str">
        <f t="shared" si="9"/>
        <v>$U$27:$U$29</v>
      </c>
      <c r="W29" s="6">
        <f t="shared" ca="1" si="10"/>
        <v>3</v>
      </c>
      <c r="X29" s="89">
        <f t="shared" ca="1" si="11"/>
        <v>38</v>
      </c>
      <c r="Y29" s="82" t="str">
        <f t="shared" ca="1" si="12"/>
        <v>Var 3</v>
      </c>
      <c r="Z29" s="91">
        <f t="shared" ca="1" si="13"/>
        <v>0</v>
      </c>
      <c r="AA29" s="91">
        <f t="shared" ca="1" si="14"/>
        <v>0</v>
      </c>
      <c r="AB29" s="90" t="str">
        <f t="array" aca="1" ref="AB29" ca="1">IF(is_empty,"",IF(is_header,"% Compl.", IFERROR(out_tracked/out_budget,"-")))</f>
        <v>-</v>
      </c>
      <c r="AC29" s="91">
        <f t="array" aca="1" ref="AC29" ca="1">IF(is_empty,"", IF(is_header, "Remaining", IF(out_budget - out_tracked &gt; 0, out_budget - out_tracked,0)))</f>
        <v>0</v>
      </c>
      <c r="AD29" s="91">
        <f t="shared" ca="1" si="15"/>
        <v>0</v>
      </c>
      <c r="AF29" s="98"/>
      <c r="AK29" s="99"/>
      <c r="AM29" s="98"/>
      <c r="AR29" s="99"/>
      <c r="AT29" s="98"/>
      <c r="BF29" s="99"/>
    </row>
    <row r="30" spans="3:69" x14ac:dyDescent="0.3">
      <c r="C30" s="83">
        <f t="array" ref="C30">IF(C29=-1,-1,
  IF(C29&lt;income_max_row,C29+1,
   IF(C29=income_max_row,income_total_row,
    IF(C29=income_total_row,"/1",
     IF(C29="/1",Fixkosten_Header_Row,
      IF(C29&lt;fixed_costs_max_row,C29+1,
       IF(C29=fixed_costs_max_row,fixed_costs_total_row,
        IF(C29=fixed_costs_total_row,"/2",
         IF(C29="/2",Variablekosten_Header_Row,
          IF(C29&lt;variable_costs_max_row,C29+1,
           IF(C29=variable_costs_max_row,variable_costs_total_row,
            IF(C29=variable_costs_total_row,"/3",
             IF(C29="/3",Investment_Header_Row,
              IF(C29&lt;investment_max_row,C29+1,
               IF(C29=investment_max_row,investment_total_row,-1)))))))))))))))</f>
        <v>39</v>
      </c>
      <c r="D30" s="84">
        <f t="shared" si="16"/>
        <v>35</v>
      </c>
      <c r="E30" s="83">
        <f t="array" ref="E30">1*OR(row_id=Einkommen_Header_Row,row_id=Fixkosten_Header_Row,row_id=Variablekosten_Header_Row,row_id=Investment_Header_Row)</f>
        <v>0</v>
      </c>
      <c r="F30" s="82">
        <f t="shared" si="0"/>
        <v>1</v>
      </c>
      <c r="G30" s="82">
        <f t="array" ref="G30">1*OR(row_id=income_total_row,row_id=fixed_costs_total_row,row_id=variable_costs_total_row,row_id=investment_total_row)</f>
        <v>0</v>
      </c>
      <c r="H30" s="82">
        <f t="shared" si="1"/>
        <v>0</v>
      </c>
      <c r="I30" s="83" t="str">
        <f t="array" ref="I30">IFERROR(INDEX('Budget Planning'!$C:$C,header_row_id),"")</f>
        <v>Variablekosten</v>
      </c>
      <c r="J30" s="82" t="str">
        <f t="array" ref="J30">IFERROR(INDEX('Budget Planning'!$C:$C,row_id),"")</f>
        <v>Var 4</v>
      </c>
      <c r="K30" s="85" cm="1">
        <f t="array" aca="1" ref="K30"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0" s="86">
        <f t="array" aca="1" ref="L30" ca="1">IF(OR(is_header,is_empty),"",
INDEX('Budget Planning'!$E:$FA,row_id,
MATCH(IF(selected_period="Jahresübersicht",selected_year,DATE(selected_year,selected_period,1)),'Budget Planning'!$E$9:$FA$9,0)))</f>
        <v>0</v>
      </c>
      <c r="M30" s="87">
        <f t="array" ref="M30">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27</v>
      </c>
      <c r="N30" s="88">
        <f t="array" ref="N30">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31</v>
      </c>
      <c r="O30" s="87" t="str">
        <f t="shared" si="2"/>
        <v>$K$27:$K$31</v>
      </c>
      <c r="P30" s="6">
        <f t="shared" ca="1" si="3"/>
        <v>1</v>
      </c>
      <c r="Q30" s="6" t="str">
        <f t="shared" si="4"/>
        <v>$L$27:$L$31</v>
      </c>
      <c r="R30" s="88">
        <f t="shared" ca="1" si="5"/>
        <v>1</v>
      </c>
      <c r="S30" s="87">
        <f t="shared" ca="1" si="6"/>
        <v>11</v>
      </c>
      <c r="T30" s="6" t="str">
        <f t="shared" si="7"/>
        <v>$S$27:$S$31</v>
      </c>
      <c r="U30" s="6">
        <f t="shared" ca="1" si="8"/>
        <v>1</v>
      </c>
      <c r="V30" s="6" t="str">
        <f t="shared" si="9"/>
        <v>$U$27:$U$30</v>
      </c>
      <c r="W30" s="6">
        <f t="shared" ca="1" si="10"/>
        <v>4</v>
      </c>
      <c r="X30" s="89">
        <f t="shared" ca="1" si="11"/>
        <v>39</v>
      </c>
      <c r="Y30" s="82" t="str">
        <f t="shared" ca="1" si="12"/>
        <v>Var 4</v>
      </c>
      <c r="Z30" s="91">
        <f t="shared" ca="1" si="13"/>
        <v>0</v>
      </c>
      <c r="AA30" s="91">
        <f t="shared" ca="1" si="14"/>
        <v>0</v>
      </c>
      <c r="AB30" s="90" t="str">
        <f t="array" aca="1" ref="AB30" ca="1">IF(is_empty,"",IF(is_header,"% Compl.", IFERROR(out_tracked/out_budget,"-")))</f>
        <v>-</v>
      </c>
      <c r="AC30" s="91">
        <f t="array" aca="1" ref="AC30" ca="1">IF(is_empty,"", IF(is_header, "Remaining", IF(out_budget - out_tracked &gt; 0, out_budget - out_tracked,0)))</f>
        <v>0</v>
      </c>
      <c r="AD30" s="91">
        <f t="shared" ca="1" si="15"/>
        <v>0</v>
      </c>
      <c r="AF30" s="98"/>
      <c r="AI30" s="112" t="str">
        <f ca="1">Calculations!L34</f>
        <v/>
      </c>
      <c r="AJ30" s="113" t="str">
        <f ca="1">Calculations!M34</f>
        <v/>
      </c>
      <c r="AK30" s="99"/>
      <c r="AM30" s="98"/>
      <c r="AP30" s="112" t="str">
        <f ca="1">Calculations!P34</f>
        <v/>
      </c>
      <c r="AQ30" s="113" t="str">
        <f ca="1">Calculations!Q34</f>
        <v/>
      </c>
      <c r="AR30" s="99"/>
      <c r="AT30" s="98"/>
      <c r="BF30" s="99"/>
    </row>
    <row r="31" spans="3:69" x14ac:dyDescent="0.3">
      <c r="C31" s="83">
        <f t="array" ref="C31">IF(C30=-1,-1,
  IF(C30&lt;income_max_row,C30+1,
   IF(C30=income_max_row,income_total_row,
    IF(C30=income_total_row,"/1",
     IF(C30="/1",Fixkosten_Header_Row,
      IF(C30&lt;fixed_costs_max_row,C30+1,
       IF(C30=fixed_costs_max_row,fixed_costs_total_row,
        IF(C30=fixed_costs_total_row,"/2",
         IF(C30="/2",Variablekosten_Header_Row,
          IF(C30&lt;variable_costs_max_row,C30+1,
           IF(C30=variable_costs_max_row,variable_costs_total_row,
            IF(C30=variable_costs_total_row,"/3",
             IF(C30="/3",Investment_Header_Row,
              IF(C30&lt;investment_max_row,C30+1,
               IF(C30=investment_max_row,investment_total_row,-1)))))))))))))))</f>
        <v>40</v>
      </c>
      <c r="D31" s="84">
        <f t="shared" si="16"/>
        <v>35</v>
      </c>
      <c r="E31" s="83">
        <f t="array" ref="E31">1*OR(row_id=Einkommen_Header_Row,row_id=Fixkosten_Header_Row,row_id=Variablekosten_Header_Row,row_id=Investment_Header_Row)</f>
        <v>0</v>
      </c>
      <c r="F31" s="82">
        <f t="shared" si="0"/>
        <v>1</v>
      </c>
      <c r="G31" s="82">
        <f t="array" ref="G31">1*OR(row_id=income_total_row,row_id=fixed_costs_total_row,row_id=variable_costs_total_row,row_id=investment_total_row)</f>
        <v>0</v>
      </c>
      <c r="H31" s="82">
        <f t="shared" si="1"/>
        <v>0</v>
      </c>
      <c r="I31" s="83" t="str">
        <f t="array" ref="I31">IFERROR(INDEX('Budget Planning'!$C:$C,header_row_id),"")</f>
        <v>Variablekosten</v>
      </c>
      <c r="J31" s="82" t="str">
        <f t="array" ref="J31">IFERROR(INDEX('Budget Planning'!$C:$C,row_id),"")</f>
        <v>Var 5</v>
      </c>
      <c r="K31" s="85" cm="1">
        <f t="array" aca="1" ref="K31"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1" s="86">
        <f t="array" aca="1" ref="L31" ca="1">IF(OR(is_header,is_empty),"",
INDEX('Budget Planning'!$E:$FA,row_id,
MATCH(IF(selected_period="Jahresübersicht",selected_year,DATE(selected_year,selected_period,1)),'Budget Planning'!$E$9:$FA$9,0)))</f>
        <v>0</v>
      </c>
      <c r="M31" s="87">
        <f t="array" ref="M31">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27</v>
      </c>
      <c r="N31" s="88">
        <f t="array" ref="N31">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31</v>
      </c>
      <c r="O31" s="87" t="str">
        <f t="shared" si="2"/>
        <v>$K$27:$K$31</v>
      </c>
      <c r="P31" s="6">
        <f t="shared" ca="1" si="3"/>
        <v>1</v>
      </c>
      <c r="Q31" s="6" t="str">
        <f t="shared" si="4"/>
        <v>$L$27:$L$31</v>
      </c>
      <c r="R31" s="88">
        <f t="shared" ca="1" si="5"/>
        <v>1</v>
      </c>
      <c r="S31" s="87">
        <f t="shared" ca="1" si="6"/>
        <v>11</v>
      </c>
      <c r="T31" s="6" t="str">
        <f t="shared" si="7"/>
        <v>$S$27:$S$31</v>
      </c>
      <c r="U31" s="6">
        <f t="shared" ca="1" si="8"/>
        <v>1</v>
      </c>
      <c r="V31" s="6" t="str">
        <f t="shared" si="9"/>
        <v>$U$27:$U$31</v>
      </c>
      <c r="W31" s="6">
        <f t="shared" ca="1" si="10"/>
        <v>5</v>
      </c>
      <c r="X31" s="89">
        <f t="shared" ca="1" si="11"/>
        <v>40</v>
      </c>
      <c r="Y31" s="82" t="str">
        <f t="shared" ca="1" si="12"/>
        <v>Var 5</v>
      </c>
      <c r="Z31" s="91">
        <f t="shared" ca="1" si="13"/>
        <v>0</v>
      </c>
      <c r="AA31" s="91">
        <f t="shared" ca="1" si="14"/>
        <v>0</v>
      </c>
      <c r="AB31" s="90" t="str">
        <f t="array" aca="1" ref="AB31" ca="1">IF(is_empty,"",IF(is_header,"% Compl.", IFERROR(out_tracked/out_budget,"-")))</f>
        <v>-</v>
      </c>
      <c r="AC31" s="91">
        <f t="array" aca="1" ref="AC31" ca="1">IF(is_empty,"", IF(is_header, "Remaining", IF(out_budget - out_tracked &gt; 0, out_budget - out_tracked,0)))</f>
        <v>0</v>
      </c>
      <c r="AD31" s="91">
        <f t="shared" ca="1" si="15"/>
        <v>0</v>
      </c>
      <c r="AF31" s="98"/>
      <c r="AI31" s="112" t="str">
        <f ca="1">Calculations!L35</f>
        <v/>
      </c>
      <c r="AJ31" s="113" t="str">
        <f ca="1">Calculations!M35</f>
        <v/>
      </c>
      <c r="AK31" s="99"/>
      <c r="AM31" s="98"/>
      <c r="AP31" s="112" t="str">
        <f ca="1">Calculations!P35</f>
        <v/>
      </c>
      <c r="AQ31" s="113" t="str">
        <f ca="1">Calculations!Q35</f>
        <v/>
      </c>
      <c r="AR31" s="99"/>
      <c r="AT31" s="98"/>
      <c r="BF31" s="99"/>
    </row>
    <row r="32" spans="3:69" x14ac:dyDescent="0.3">
      <c r="C32" s="83">
        <f t="array" ref="C32">IF(C31=-1,-1,
  IF(C31&lt;income_max_row,C31+1,
   IF(C31=income_max_row,income_total_row,
    IF(C31=income_total_row,"/1",
     IF(C31="/1",Fixkosten_Header_Row,
      IF(C31&lt;fixed_costs_max_row,C31+1,
       IF(C31=fixed_costs_max_row,fixed_costs_total_row,
        IF(C31=fixed_costs_total_row,"/2",
         IF(C31="/2",Variablekosten_Header_Row,
          IF(C31&lt;variable_costs_max_row,C31+1,
           IF(C31=variable_costs_max_row,variable_costs_total_row,
            IF(C31=variable_costs_total_row,"/3",
             IF(C31="/3",Investment_Header_Row,
              IF(C31&lt;investment_max_row,C31+1,
               IF(C31=investment_max_row,investment_total_row,-1)))))))))))))))</f>
        <v>46</v>
      </c>
      <c r="D32" s="84">
        <f t="shared" si="16"/>
        <v>35</v>
      </c>
      <c r="E32" s="83">
        <f t="array" ref="E32">1*OR(row_id=Einkommen_Header_Row,row_id=Fixkosten_Header_Row,row_id=Variablekosten_Header_Row,row_id=Investment_Header_Row)</f>
        <v>0</v>
      </c>
      <c r="F32" s="82">
        <f t="shared" si="0"/>
        <v>0</v>
      </c>
      <c r="G32" s="82">
        <f t="array" ref="G32">1*OR(row_id=income_total_row,row_id=fixed_costs_total_row,row_id=variable_costs_total_row,row_id=investment_total_row)</f>
        <v>1</v>
      </c>
      <c r="H32" s="82">
        <f t="shared" si="1"/>
        <v>0</v>
      </c>
      <c r="I32" s="83" t="str">
        <f t="array" ref="I32">IFERROR(INDEX('Budget Planning'!$C:$C,header_row_id),"")</f>
        <v>Variablekosten</v>
      </c>
      <c r="J32" s="82" t="str">
        <f t="array" ref="J32">IFERROR(INDEX('Budget Planning'!$C:$C,row_id),"")</f>
        <v>Total</v>
      </c>
      <c r="K32" s="85" cm="1">
        <f t="array" aca="1" ref="K32"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2" s="86">
        <f t="array" aca="1" ref="L32" ca="1">IF(OR(is_header,is_empty),"",
INDEX('Budget Planning'!$E:$FA,row_id,
MATCH(IF(selected_period="Jahresübersicht",selected_year,DATE(selected_year,selected_period,1)),'Budget Planning'!$E$9:$FA$9,0)))</f>
        <v>0</v>
      </c>
      <c r="M32" s="87" t="str">
        <f t="array" ref="M32">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32" s="88" t="str">
        <f t="array" ref="N32">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32" s="87" t="str">
        <f t="shared" si="2"/>
        <v/>
      </c>
      <c r="P32" s="6" t="str">
        <f t="shared" ca="1" si="3"/>
        <v/>
      </c>
      <c r="Q32" s="6" t="str">
        <f t="shared" si="4"/>
        <v/>
      </c>
      <c r="R32" s="88" t="str">
        <f t="shared" ca="1" si="5"/>
        <v/>
      </c>
      <c r="S32" s="87" t="str">
        <f t="shared" si="6"/>
        <v/>
      </c>
      <c r="T32" s="6" t="str">
        <f t="shared" si="7"/>
        <v/>
      </c>
      <c r="U32" s="6" t="str">
        <f t="shared" ca="1" si="8"/>
        <v/>
      </c>
      <c r="V32" s="6" t="str">
        <f t="shared" si="9"/>
        <v/>
      </c>
      <c r="W32" s="6" t="str">
        <f t="shared" ca="1" si="10"/>
        <v/>
      </c>
      <c r="X32" s="89">
        <f t="shared" si="11"/>
        <v>46</v>
      </c>
      <c r="Y32" s="82" t="str">
        <f t="shared" ca="1" si="12"/>
        <v>Total</v>
      </c>
      <c r="Z32" s="91">
        <f t="shared" ca="1" si="13"/>
        <v>0</v>
      </c>
      <c r="AA32" s="91">
        <f t="shared" ca="1" si="14"/>
        <v>0</v>
      </c>
      <c r="AB32" s="90" t="str">
        <f t="array" aca="1" ref="AB32" ca="1">IF(is_empty,"",IF(is_header,"% Compl.", IFERROR(out_tracked/out_budget,"-")))</f>
        <v>-</v>
      </c>
      <c r="AC32" s="91">
        <f t="array" aca="1" ref="AC32" ca="1">IF(is_empty,"", IF(is_header, "Remaining", IF(out_budget - out_tracked &gt; 0, out_budget - out_tracked,0)))</f>
        <v>0</v>
      </c>
      <c r="AD32" s="91">
        <f t="shared" ca="1" si="15"/>
        <v>0</v>
      </c>
      <c r="AF32" s="98"/>
      <c r="AI32" s="112" t="str">
        <f ca="1">Calculations!L36</f>
        <v/>
      </c>
      <c r="AJ32" s="113" t="str">
        <f ca="1">Calculations!M36</f>
        <v/>
      </c>
      <c r="AK32" s="99"/>
      <c r="AM32" s="98"/>
      <c r="AP32" s="112" t="str">
        <f ca="1">Calculations!P36</f>
        <v/>
      </c>
      <c r="AQ32" s="113" t="str">
        <f ca="1">Calculations!Q36</f>
        <v/>
      </c>
      <c r="AR32" s="99"/>
      <c r="AT32" s="98"/>
      <c r="BF32" s="99"/>
    </row>
    <row r="33" spans="3:58" x14ac:dyDescent="0.3">
      <c r="C33" s="83" t="str">
        <f t="array" ref="C33">IF(C32=-1,-1,
  IF(C32&lt;income_max_row,C32+1,
   IF(C32=income_max_row,income_total_row,
    IF(C32=income_total_row,"/1",
     IF(C32="/1",Fixkosten_Header_Row,
      IF(C32&lt;fixed_costs_max_row,C32+1,
       IF(C32=fixed_costs_max_row,fixed_costs_total_row,
        IF(C32=fixed_costs_total_row,"/2",
         IF(C32="/2",Variablekosten_Header_Row,
          IF(C32&lt;variable_costs_max_row,C32+1,
           IF(C32=variable_costs_max_row,variable_costs_total_row,
            IF(C32=variable_costs_total_row,"/3",
             IF(C32="/3",Investment_Header_Row,
              IF(C32&lt;investment_max_row,C32+1,
               IF(C32=investment_max_row,investment_total_row,-1)))))))))))))))</f>
        <v>/3</v>
      </c>
      <c r="D33" s="84">
        <f t="shared" si="16"/>
        <v>-1</v>
      </c>
      <c r="E33" s="83">
        <f t="array" ref="E33">1*OR(row_id=Einkommen_Header_Row,row_id=Fixkosten_Header_Row,row_id=Variablekosten_Header_Row,row_id=Investment_Header_Row)</f>
        <v>0</v>
      </c>
      <c r="F33" s="82">
        <f t="shared" si="0"/>
        <v>0</v>
      </c>
      <c r="G33" s="82">
        <f t="array" ref="G33">1*OR(row_id=income_total_row,row_id=fixed_costs_total_row,row_id=variable_costs_total_row,row_id=investment_total_row)</f>
        <v>0</v>
      </c>
      <c r="H33" s="82">
        <f t="shared" si="1"/>
        <v>1</v>
      </c>
      <c r="I33" s="83" t="str">
        <f t="array" ref="I33">IFERROR(INDEX('Budget Planning'!$C:$C,header_row_id),"")</f>
        <v/>
      </c>
      <c r="J33" s="82" t="str">
        <f t="array" ref="J33">IFERROR(INDEX('Budget Planning'!$C:$C,row_id),"")</f>
        <v/>
      </c>
      <c r="K33" s="85" t="str" cm="1">
        <f t="array" ref="K33">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33" s="86" t="str">
        <f t="array" ref="L33">IF(OR(is_header,is_empty),"",
INDEX('Budget Planning'!$E:$FA,row_id,
MATCH(IF(selected_period="Jahresübersicht",selected_year,DATE(selected_year,selected_period,1)),'Budget Planning'!$E$9:$FA$9,0)))</f>
        <v/>
      </c>
      <c r="M33" s="87" t="str">
        <f t="array" ref="M33">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33" s="88" t="str">
        <f t="array" ref="N33">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33" s="87" t="str">
        <f t="shared" si="2"/>
        <v/>
      </c>
      <c r="P33" s="6" t="str">
        <f t="shared" ca="1" si="3"/>
        <v/>
      </c>
      <c r="Q33" s="6" t="str">
        <f t="shared" si="4"/>
        <v/>
      </c>
      <c r="R33" s="88" t="str">
        <f t="shared" ca="1" si="5"/>
        <v/>
      </c>
      <c r="S33" s="87" t="str">
        <f t="shared" si="6"/>
        <v/>
      </c>
      <c r="T33" s="6" t="str">
        <f t="shared" si="7"/>
        <v/>
      </c>
      <c r="U33" s="6" t="str">
        <f t="shared" ca="1" si="8"/>
        <v/>
      </c>
      <c r="V33" s="6" t="str">
        <f t="shared" si="9"/>
        <v/>
      </c>
      <c r="W33" s="6" t="str">
        <f t="shared" ca="1" si="10"/>
        <v/>
      </c>
      <c r="X33" s="89" t="str">
        <f t="shared" si="11"/>
        <v>/3</v>
      </c>
      <c r="Y33" s="82" t="str">
        <f t="shared" si="12"/>
        <v/>
      </c>
      <c r="Z33" s="91" t="str">
        <f t="shared" si="13"/>
        <v/>
      </c>
      <c r="AA33" s="91" t="str">
        <f t="shared" si="14"/>
        <v/>
      </c>
      <c r="AB33" s="90" t="str">
        <f t="array" ref="AB33">IF(is_empty,"",IF(is_header,"% Compl.", IFERROR(out_tracked/out_budget,"-")))</f>
        <v/>
      </c>
      <c r="AC33" s="91" t="str">
        <f t="array" ref="AC33">IF(is_empty,"", IF(is_header, "Remaining", IF(out_budget - out_tracked &gt; 0, out_budget - out_tracked,0)))</f>
        <v/>
      </c>
      <c r="AD33" s="91" t="str">
        <f t="shared" si="15"/>
        <v/>
      </c>
      <c r="AF33" s="98"/>
      <c r="AI33" s="112" t="str">
        <f ca="1">Calculations!L37</f>
        <v/>
      </c>
      <c r="AJ33" s="113" t="str">
        <f ca="1">Calculations!M37</f>
        <v/>
      </c>
      <c r="AK33" s="99"/>
      <c r="AM33" s="98"/>
      <c r="AP33" s="112" t="str">
        <f>Calculations!P37</f>
        <v/>
      </c>
      <c r="AQ33" s="113" t="str">
        <f>Calculations!Q37</f>
        <v/>
      </c>
      <c r="AR33" s="99"/>
      <c r="AT33" s="98"/>
      <c r="BF33" s="99"/>
    </row>
    <row r="34" spans="3:58" x14ac:dyDescent="0.3">
      <c r="C34" s="83">
        <f t="array" ref="C34">IF(C33=-1,-1,
  IF(C33&lt;income_max_row,C33+1,
   IF(C33=income_max_row,income_total_row,
    IF(C33=income_total_row,"/1",
     IF(C33="/1",Fixkosten_Header_Row,
      IF(C33&lt;fixed_costs_max_row,C33+1,
       IF(C33=fixed_costs_max_row,fixed_costs_total_row,
        IF(C33=fixed_costs_total_row,"/2",
         IF(C33="/2",Variablekosten_Header_Row,
          IF(C33&lt;variable_costs_max_row,C33+1,
           IF(C33=variable_costs_max_row,variable_costs_total_row,
            IF(C33=variable_costs_total_row,"/3",
             IF(C33="/3",Investment_Header_Row,
              IF(C33&lt;investment_max_row,C33+1,
               IF(C33=investment_max_row,investment_total_row,-1)))))))))))))))</f>
        <v>48</v>
      </c>
      <c r="D34" s="84">
        <f t="shared" si="16"/>
        <v>48</v>
      </c>
      <c r="E34" s="83">
        <f t="array" ref="E34">1*OR(row_id=Einkommen_Header_Row,row_id=Fixkosten_Header_Row,row_id=Variablekosten_Header_Row,row_id=Investment_Header_Row)</f>
        <v>1</v>
      </c>
      <c r="F34" s="82">
        <f t="shared" si="0"/>
        <v>0</v>
      </c>
      <c r="G34" s="82">
        <f t="array" ref="G34">1*OR(row_id=income_total_row,row_id=fixed_costs_total_row,row_id=variable_costs_total_row,row_id=investment_total_row)</f>
        <v>0</v>
      </c>
      <c r="H34" s="82">
        <f t="shared" si="1"/>
        <v>0</v>
      </c>
      <c r="I34" s="83" t="str">
        <f t="array" ref="I34">IFERROR(INDEX('Budget Planning'!$C:$C,header_row_id),"")</f>
        <v>Investment</v>
      </c>
      <c r="J34" s="82" t="str">
        <f t="array" ref="J34">IFERROR(INDEX('Budget Planning'!$C:$C,row_id),"")</f>
        <v>Investment</v>
      </c>
      <c r="K34" s="85" t="str" cm="1">
        <f t="array" ref="K34">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34" s="86" t="str">
        <f t="array" ref="L34">IF(OR(is_header,is_empty),"",
INDEX('Budget Planning'!$E:$FA,row_id,
MATCH(IF(selected_period="Jahresübersicht",selected_year,DATE(selected_year,selected_period,1)),'Budget Planning'!$E$9:$FA$9,0)))</f>
        <v/>
      </c>
      <c r="M34" s="87" t="str">
        <f t="array" ref="M34">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34" s="88" t="str">
        <f t="array" ref="N34">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34" s="87" t="str">
        <f t="shared" si="2"/>
        <v/>
      </c>
      <c r="P34" s="6" t="str">
        <f t="shared" ca="1" si="3"/>
        <v/>
      </c>
      <c r="Q34" s="6" t="str">
        <f t="shared" si="4"/>
        <v/>
      </c>
      <c r="R34" s="88" t="str">
        <f t="shared" ca="1" si="5"/>
        <v/>
      </c>
      <c r="S34" s="87" t="str">
        <f t="shared" si="6"/>
        <v/>
      </c>
      <c r="T34" s="6" t="str">
        <f t="shared" si="7"/>
        <v/>
      </c>
      <c r="U34" s="6" t="str">
        <f t="shared" ca="1" si="8"/>
        <v/>
      </c>
      <c r="V34" s="6" t="str">
        <f t="shared" si="9"/>
        <v/>
      </c>
      <c r="W34" s="6" t="str">
        <f t="shared" ca="1" si="10"/>
        <v/>
      </c>
      <c r="X34" s="89">
        <f t="shared" si="11"/>
        <v>48</v>
      </c>
      <c r="Y34" s="82" t="str">
        <f t="shared" ca="1" si="12"/>
        <v>Investment</v>
      </c>
      <c r="Z34" s="91" t="str">
        <f t="shared" si="13"/>
        <v>Tracked</v>
      </c>
      <c r="AA34" s="91" t="str">
        <f t="shared" si="14"/>
        <v>Budget</v>
      </c>
      <c r="AB34" s="90" t="str">
        <f t="array" ref="AB34">IF(is_empty,"",IF(is_header,"% Compl.", IFERROR(out_tracked/out_budget,"-")))</f>
        <v>% Compl.</v>
      </c>
      <c r="AC34" s="91" t="str">
        <f t="array" ref="AC34">IF(is_empty,"", IF(is_header, "Remaining", IF(out_budget - out_tracked &gt; 0, out_budget - out_tracked,0)))</f>
        <v>Remaining</v>
      </c>
      <c r="AD34" s="91" t="str">
        <f t="shared" si="15"/>
        <v>Excess</v>
      </c>
      <c r="AF34" s="98"/>
      <c r="AI34" s="112" t="str">
        <f ca="1">Calculations!L38</f>
        <v/>
      </c>
      <c r="AJ34" s="113" t="str">
        <f ca="1">Calculations!M38</f>
        <v/>
      </c>
      <c r="AK34" s="99"/>
      <c r="AM34" s="98"/>
      <c r="AP34" s="112" t="str">
        <f>Calculations!P38</f>
        <v/>
      </c>
      <c r="AQ34" s="113" t="str">
        <f>Calculations!Q38</f>
        <v/>
      </c>
      <c r="AR34" s="99"/>
      <c r="AT34" s="98"/>
      <c r="BF34" s="99"/>
    </row>
    <row r="35" spans="3:58" x14ac:dyDescent="0.3">
      <c r="C35" s="83">
        <f t="array" ref="C35">IF(C34=-1,-1,
  IF(C34&lt;income_max_row,C34+1,
   IF(C34=income_max_row,income_total_row,
    IF(C34=income_total_row,"/1",
     IF(C34="/1",Fixkosten_Header_Row,
      IF(C34&lt;fixed_costs_max_row,C34+1,
       IF(C34=fixed_costs_max_row,fixed_costs_total_row,
        IF(C34=fixed_costs_total_row,"/2",
         IF(C34="/2",Variablekosten_Header_Row,
          IF(C34&lt;variable_costs_max_row,C34+1,
           IF(C34=variable_costs_max_row,variable_costs_total_row,
            IF(C34=variable_costs_total_row,"/3",
             IF(C34="/3",Investment_Header_Row,
              IF(C34&lt;investment_max_row,C34+1,
               IF(C34=investment_max_row,investment_total_row,-1)))))))))))))))</f>
        <v>49</v>
      </c>
      <c r="D35" s="84">
        <f t="shared" si="16"/>
        <v>48</v>
      </c>
      <c r="E35" s="83">
        <f t="array" ref="E35">1*OR(row_id=Einkommen_Header_Row,row_id=Fixkosten_Header_Row,row_id=Variablekosten_Header_Row,row_id=Investment_Header_Row)</f>
        <v>0</v>
      </c>
      <c r="F35" s="82">
        <f t="shared" si="0"/>
        <v>1</v>
      </c>
      <c r="G35" s="82">
        <f t="array" ref="G35">1*OR(row_id=income_total_row,row_id=fixed_costs_total_row,row_id=variable_costs_total_row,row_id=investment_total_row)</f>
        <v>0</v>
      </c>
      <c r="H35" s="82">
        <f t="shared" si="1"/>
        <v>0</v>
      </c>
      <c r="I35" s="83" t="str">
        <f t="array" ref="I35">IFERROR(INDEX('Budget Planning'!$C:$C,header_row_id),"")</f>
        <v>Investment</v>
      </c>
      <c r="J35" s="82" t="str">
        <f t="array" ref="J35">IFERROR(INDEX('Budget Planning'!$C:$C,row_id),"")</f>
        <v>Inv 1</v>
      </c>
      <c r="K35" s="85" cm="1">
        <f t="array" aca="1" ref="K35"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5" s="86">
        <f t="array" aca="1" ref="L35" ca="1">IF(OR(is_header,is_empty),"",
INDEX('Budget Planning'!$E:$FA,row_id,
MATCH(IF(selected_period="Jahresübersicht",selected_year,DATE(selected_year,selected_period,1)),'Budget Planning'!$E$9:$FA$9,0)))</f>
        <v>0</v>
      </c>
      <c r="M35" s="87">
        <f t="array" ref="M35">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35</v>
      </c>
      <c r="N35" s="88">
        <f t="array" ref="N35">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37</v>
      </c>
      <c r="O35" s="87" t="str">
        <f t="shared" si="2"/>
        <v>$K$35:$K$37</v>
      </c>
      <c r="P35" s="6">
        <f t="shared" ca="1" si="3"/>
        <v>1</v>
      </c>
      <c r="Q35" s="6" t="str">
        <f t="shared" si="4"/>
        <v>$L$35:$L$37</v>
      </c>
      <c r="R35" s="88">
        <f t="shared" ca="1" si="5"/>
        <v>1</v>
      </c>
      <c r="S35" s="87">
        <f t="shared" ca="1" si="6"/>
        <v>11</v>
      </c>
      <c r="T35" s="6" t="str">
        <f t="shared" si="7"/>
        <v>$S$35:$S$37</v>
      </c>
      <c r="U35" s="6">
        <f t="shared" ca="1" si="8"/>
        <v>1</v>
      </c>
      <c r="V35" s="6" t="str">
        <f t="shared" si="9"/>
        <v>$U$35:$U$35</v>
      </c>
      <c r="W35" s="6">
        <f t="shared" ca="1" si="10"/>
        <v>1</v>
      </c>
      <c r="X35" s="89">
        <f t="shared" ca="1" si="11"/>
        <v>49</v>
      </c>
      <c r="Y35" s="82" t="str">
        <f t="shared" ca="1" si="12"/>
        <v>Inv 1</v>
      </c>
      <c r="Z35" s="91">
        <f t="shared" ca="1" si="13"/>
        <v>0</v>
      </c>
      <c r="AA35" s="91">
        <f t="shared" ca="1" si="14"/>
        <v>0</v>
      </c>
      <c r="AB35" s="90" t="str">
        <f t="array" aca="1" ref="AB35" ca="1">IF(is_empty,"",IF(is_header,"% Compl.", IFERROR(out_tracked/out_budget,"-")))</f>
        <v>-</v>
      </c>
      <c r="AC35" s="91">
        <f t="array" aca="1" ref="AC35" ca="1">IF(is_empty,"", IF(is_header, "Remaining", IF(out_budget - out_tracked &gt; 0, out_budget - out_tracked,0)))</f>
        <v>0</v>
      </c>
      <c r="AD35" s="91">
        <f t="shared" ca="1" si="15"/>
        <v>0</v>
      </c>
      <c r="AF35" s="98"/>
      <c r="AI35" s="112" t="str">
        <f>Calculations!L39</f>
        <v/>
      </c>
      <c r="AJ35" s="113" t="str">
        <f>Calculations!M39</f>
        <v/>
      </c>
      <c r="AK35" s="99"/>
      <c r="AM35" s="98"/>
      <c r="AP35" s="112" t="str">
        <f>Calculations!P39</f>
        <v/>
      </c>
      <c r="AQ35" s="113" t="str">
        <f>Calculations!Q39</f>
        <v/>
      </c>
      <c r="AR35" s="99"/>
      <c r="AT35" s="98"/>
      <c r="BF35" s="99"/>
    </row>
    <row r="36" spans="3:58" x14ac:dyDescent="0.3">
      <c r="C36" s="83">
        <f t="array" ref="C36">IF(C35=-1,-1,
  IF(C35&lt;income_max_row,C35+1,
   IF(C35=income_max_row,income_total_row,
    IF(C35=income_total_row,"/1",
     IF(C35="/1",Fixkosten_Header_Row,
      IF(C35&lt;fixed_costs_max_row,C35+1,
       IF(C35=fixed_costs_max_row,fixed_costs_total_row,
        IF(C35=fixed_costs_total_row,"/2",
         IF(C35="/2",Variablekosten_Header_Row,
          IF(C35&lt;variable_costs_max_row,C35+1,
           IF(C35=variable_costs_max_row,variable_costs_total_row,
            IF(C35=variable_costs_total_row,"/3",
             IF(C35="/3",Investment_Header_Row,
              IF(C35&lt;investment_max_row,C35+1,
               IF(C35=investment_max_row,investment_total_row,-1)))))))))))))))</f>
        <v>50</v>
      </c>
      <c r="D36" s="84">
        <f t="shared" si="16"/>
        <v>48</v>
      </c>
      <c r="E36" s="83">
        <f t="array" ref="E36">1*OR(row_id=Einkommen_Header_Row,row_id=Fixkosten_Header_Row,row_id=Variablekosten_Header_Row,row_id=Investment_Header_Row)</f>
        <v>0</v>
      </c>
      <c r="F36" s="82">
        <f t="shared" si="0"/>
        <v>1</v>
      </c>
      <c r="G36" s="82">
        <f t="array" ref="G36">1*OR(row_id=income_total_row,row_id=fixed_costs_total_row,row_id=variable_costs_total_row,row_id=investment_total_row)</f>
        <v>0</v>
      </c>
      <c r="H36" s="82">
        <f t="shared" si="1"/>
        <v>0</v>
      </c>
      <c r="I36" s="83" t="str">
        <f t="array" ref="I36">IFERROR(INDEX('Budget Planning'!$C:$C,header_row_id),"")</f>
        <v>Investment</v>
      </c>
      <c r="J36" s="82" t="str">
        <f t="array" ref="J36">IFERROR(INDEX('Budget Planning'!$C:$C,row_id),"")</f>
        <v>Inv 2</v>
      </c>
      <c r="K36" s="85" cm="1">
        <f t="array" aca="1" ref="K36"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6" s="86">
        <f t="array" aca="1" ref="L36" ca="1">IF(OR(is_header,is_empty),"",
INDEX('Budget Planning'!$E:$FA,row_id,
MATCH(IF(selected_period="Jahresübersicht",selected_year,DATE(selected_year,selected_period,1)),'Budget Planning'!$E$9:$FA$9,0)))</f>
        <v>0</v>
      </c>
      <c r="M36" s="87">
        <f t="array" ref="M36">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35</v>
      </c>
      <c r="N36" s="88">
        <f t="array" ref="N36">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37</v>
      </c>
      <c r="O36" s="87" t="str">
        <f t="shared" si="2"/>
        <v>$K$35:$K$37</v>
      </c>
      <c r="P36" s="6">
        <f t="shared" ca="1" si="3"/>
        <v>1</v>
      </c>
      <c r="Q36" s="6" t="str">
        <f t="shared" si="4"/>
        <v>$L$35:$L$37</v>
      </c>
      <c r="R36" s="88">
        <f t="shared" ca="1" si="5"/>
        <v>1</v>
      </c>
      <c r="S36" s="87">
        <f t="shared" ca="1" si="6"/>
        <v>11</v>
      </c>
      <c r="T36" s="6" t="str">
        <f t="shared" si="7"/>
        <v>$S$35:$S$37</v>
      </c>
      <c r="U36" s="6">
        <f t="shared" ca="1" si="8"/>
        <v>1</v>
      </c>
      <c r="V36" s="6" t="str">
        <f t="shared" si="9"/>
        <v>$U$35:$U$36</v>
      </c>
      <c r="W36" s="6">
        <f t="shared" ca="1" si="10"/>
        <v>2</v>
      </c>
      <c r="X36" s="89">
        <f t="shared" ca="1" si="11"/>
        <v>50</v>
      </c>
      <c r="Y36" s="82" t="str">
        <f t="shared" ca="1" si="12"/>
        <v>Inv 2</v>
      </c>
      <c r="Z36" s="91">
        <f t="shared" ca="1" si="13"/>
        <v>0</v>
      </c>
      <c r="AA36" s="91">
        <f t="shared" ca="1" si="14"/>
        <v>0</v>
      </c>
      <c r="AB36" s="90" t="str">
        <f t="array" aca="1" ref="AB36" ca="1">IF(is_empty,"",IF(is_header,"% Compl.", IFERROR(out_tracked/out_budget,"-")))</f>
        <v>-</v>
      </c>
      <c r="AC36" s="91">
        <f t="array" aca="1" ref="AC36" ca="1">IF(is_empty,"", IF(is_header, "Remaining", IF(out_budget - out_tracked &gt; 0, out_budget - out_tracked,0)))</f>
        <v>0</v>
      </c>
      <c r="AD36" s="91">
        <f t="shared" ca="1" si="15"/>
        <v>0</v>
      </c>
      <c r="AF36" s="98"/>
      <c r="AI36" s="114" t="str">
        <f>Calculations!L40</f>
        <v>Total</v>
      </c>
      <c r="AJ36" s="115">
        <f ca="1">Calculations!M40</f>
        <v>0</v>
      </c>
      <c r="AK36" s="99"/>
      <c r="AM36" s="98"/>
      <c r="AP36" s="114" t="str">
        <f>Calculations!P40</f>
        <v>Total</v>
      </c>
      <c r="AQ36" s="115">
        <f ca="1">Calculations!Q40</f>
        <v>0</v>
      </c>
      <c r="AR36" s="99"/>
      <c r="AT36" s="98"/>
      <c r="BF36" s="99"/>
    </row>
    <row r="37" spans="3:58" x14ac:dyDescent="0.3">
      <c r="C37" s="83">
        <f t="array" ref="C37">IF(C36=-1,-1,
  IF(C36&lt;income_max_row,C36+1,
   IF(C36=income_max_row,income_total_row,
    IF(C36=income_total_row,"/1",
     IF(C36="/1",Fixkosten_Header_Row,
      IF(C36&lt;fixed_costs_max_row,C36+1,
       IF(C36=fixed_costs_max_row,fixed_costs_total_row,
        IF(C36=fixed_costs_total_row,"/2",
         IF(C36="/2",Variablekosten_Header_Row,
          IF(C36&lt;variable_costs_max_row,C36+1,
           IF(C36=variable_costs_max_row,variable_costs_total_row,
            IF(C36=variable_costs_total_row,"/3",
             IF(C36="/3",Investment_Header_Row,
              IF(C36&lt;investment_max_row,C36+1,
               IF(C36=investment_max_row,investment_total_row,-1)))))))))))))))</f>
        <v>51</v>
      </c>
      <c r="D37" s="84">
        <f t="shared" si="16"/>
        <v>48</v>
      </c>
      <c r="E37" s="83">
        <f t="array" ref="E37">1*OR(row_id=Einkommen_Header_Row,row_id=Fixkosten_Header_Row,row_id=Variablekosten_Header_Row,row_id=Investment_Header_Row)</f>
        <v>0</v>
      </c>
      <c r="F37" s="82">
        <f t="shared" si="0"/>
        <v>1</v>
      </c>
      <c r="G37" s="82">
        <f t="array" ref="G37">1*OR(row_id=income_total_row,row_id=fixed_costs_total_row,row_id=variable_costs_total_row,row_id=investment_total_row)</f>
        <v>0</v>
      </c>
      <c r="H37" s="82">
        <f t="shared" si="1"/>
        <v>0</v>
      </c>
      <c r="I37" s="83" t="str">
        <f t="array" ref="I37">IFERROR(INDEX('Budget Planning'!$C:$C,header_row_id),"")</f>
        <v>Investment</v>
      </c>
      <c r="J37" s="82" t="str">
        <f t="array" ref="J37">IFERROR(INDEX('Budget Planning'!$C:$C,row_id),"")</f>
        <v>Inv 3</v>
      </c>
      <c r="K37" s="85" cm="1">
        <f t="array" aca="1" ref="K37"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7" s="86">
        <f t="array" aca="1" ref="L37" ca="1">IF(OR(is_header,is_empty),"",
INDEX('Budget Planning'!$E:$FA,row_id,
MATCH(IF(selected_period="Jahresübersicht",selected_year,DATE(selected_year,selected_period,1)),'Budget Planning'!$E$9:$FA$9,0)))</f>
        <v>0</v>
      </c>
      <c r="M37" s="87">
        <f t="array" ref="M37">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35</v>
      </c>
      <c r="N37" s="88">
        <f t="array" ref="N37">IF(is_cat,
  IF(header_row_id=Einkommen_Header_Row, MATCH(income_max_row, $C:$C, 0),
  IF(header_row_id=Fixkosten_Header_Row, MATCH(fixed_costs_max_row, $C:$C, 0),
  IF(header_row_id=Variablekosten_Header_Row, MATCH(variable_costs_max_row, $C:$C, 0),
  IF(header_row_id=Investment_Header_Row, MATCH(investment_max_row, $C:$C, 0),
  "")))),"")</f>
        <v>37</v>
      </c>
      <c r="O37" s="87" t="str">
        <f t="shared" si="2"/>
        <v>$K$35:$K$37</v>
      </c>
      <c r="P37" s="6">
        <f t="shared" ca="1" si="3"/>
        <v>1</v>
      </c>
      <c r="Q37" s="6" t="str">
        <f t="shared" si="4"/>
        <v>$L$35:$L$37</v>
      </c>
      <c r="R37" s="88">
        <f t="shared" ca="1" si="5"/>
        <v>1</v>
      </c>
      <c r="S37" s="87">
        <f t="shared" ca="1" si="6"/>
        <v>11</v>
      </c>
      <c r="T37" s="6" t="str">
        <f t="shared" si="7"/>
        <v>$S$35:$S$37</v>
      </c>
      <c r="U37" s="6">
        <f t="shared" ca="1" si="8"/>
        <v>1</v>
      </c>
      <c r="V37" s="6" t="str">
        <f t="shared" si="9"/>
        <v>$U$35:$U$37</v>
      </c>
      <c r="W37" s="6">
        <f t="shared" ca="1" si="10"/>
        <v>3</v>
      </c>
      <c r="X37" s="89">
        <f t="shared" ca="1" si="11"/>
        <v>51</v>
      </c>
      <c r="Y37" s="82" t="str">
        <f t="shared" ca="1" si="12"/>
        <v>Inv 3</v>
      </c>
      <c r="Z37" s="91">
        <f t="shared" ca="1" si="13"/>
        <v>0</v>
      </c>
      <c r="AA37" s="91">
        <f t="shared" ca="1" si="14"/>
        <v>0</v>
      </c>
      <c r="AB37" s="90" t="str">
        <f t="array" aca="1" ref="AB37" ca="1">IF(is_empty,"",IF(is_header,"% Compl.", IFERROR(out_tracked/out_budget,"-")))</f>
        <v>-</v>
      </c>
      <c r="AC37" s="91">
        <f t="array" aca="1" ref="AC37" ca="1">IF(is_empty,"", IF(is_header, "Remaining", IF(out_budget - out_tracked &gt; 0, out_budget - out_tracked,0)))</f>
        <v>0</v>
      </c>
      <c r="AD37" s="91">
        <f t="shared" ca="1" si="15"/>
        <v>0</v>
      </c>
      <c r="AF37" s="98"/>
      <c r="AK37" s="99"/>
      <c r="AM37" s="98"/>
      <c r="AR37" s="99"/>
      <c r="AT37" s="98"/>
      <c r="BF37" s="99"/>
    </row>
    <row r="38" spans="3:58" x14ac:dyDescent="0.3">
      <c r="C38" s="83">
        <f t="array" ref="C38">IF(C37=-1,-1,
  IF(C37&lt;income_max_row,C37+1,
   IF(C37=income_max_row,income_total_row,
    IF(C37=income_total_row,"/1",
     IF(C37="/1",Fixkosten_Header_Row,
      IF(C37&lt;fixed_costs_max_row,C37+1,
       IF(C37=fixed_costs_max_row,fixed_costs_total_row,
        IF(C37=fixed_costs_total_row,"/2",
         IF(C37="/2",Variablekosten_Header_Row,
          IF(C37&lt;variable_costs_max_row,C37+1,
           IF(C37=variable_costs_max_row,variable_costs_total_row,
            IF(C37=variable_costs_total_row,"/3",
             IF(C37="/3",Investment_Header_Row,
              IF(C37&lt;investment_max_row,C37+1,
               IF(C37=investment_max_row,investment_total_row,-1)))))))))))))))</f>
        <v>59</v>
      </c>
      <c r="D38" s="84">
        <f t="shared" si="16"/>
        <v>48</v>
      </c>
      <c r="E38" s="83">
        <f t="array" ref="E38">1*OR(row_id=Einkommen_Header_Row,row_id=Fixkosten_Header_Row,row_id=Variablekosten_Header_Row,row_id=Investment_Header_Row)</f>
        <v>0</v>
      </c>
      <c r="F38" s="82">
        <f t="shared" si="0"/>
        <v>0</v>
      </c>
      <c r="G38" s="82">
        <f t="array" ref="G38">1*OR(row_id=income_total_row,row_id=fixed_costs_total_row,row_id=variable_costs_total_row,row_id=investment_total_row)</f>
        <v>1</v>
      </c>
      <c r="H38" s="82">
        <f t="shared" si="1"/>
        <v>0</v>
      </c>
      <c r="I38" s="83" t="str">
        <f t="array" ref="I38">IFERROR(INDEX('Budget Planning'!$C:$C,header_row_id),"")</f>
        <v>Investment</v>
      </c>
      <c r="J38" s="82" t="str">
        <f t="array" ref="J38">IFERROR(INDEX('Budget Planning'!$C:$C,row_id),"")</f>
        <v>Total</v>
      </c>
      <c r="K38" s="85" cm="1">
        <f t="array" aca="1" ref="K38" ca="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0</v>
      </c>
      <c r="L38" s="86">
        <f t="array" aca="1" ref="L38" ca="1">IF(OR(is_header,is_empty),"",
INDEX('Budget Planning'!$E:$FA,row_id,
MATCH(IF(selected_period="Jahresübersicht",selected_year,DATE(selected_year,selected_period,1)),'Budget Planning'!$E$9:$FA$9,0)))</f>
        <v>0</v>
      </c>
      <c r="M38" s="87" t="str">
        <f t="array" ref="M38">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38" s="88" t="str">
        <f t="array" ref="N38">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38" s="87" t="str">
        <f t="shared" si="2"/>
        <v/>
      </c>
      <c r="P38" s="6" t="str">
        <f t="shared" ca="1" si="3"/>
        <v/>
      </c>
      <c r="Q38" s="6" t="str">
        <f t="shared" si="4"/>
        <v/>
      </c>
      <c r="R38" s="88" t="str">
        <f t="shared" ca="1" si="5"/>
        <v/>
      </c>
      <c r="S38" s="87" t="str">
        <f t="shared" si="6"/>
        <v/>
      </c>
      <c r="T38" s="6" t="str">
        <f t="shared" si="7"/>
        <v/>
      </c>
      <c r="U38" s="6" t="str">
        <f t="shared" ca="1" si="8"/>
        <v/>
      </c>
      <c r="V38" s="6" t="str">
        <f t="shared" si="9"/>
        <v/>
      </c>
      <c r="W38" s="6" t="str">
        <f t="shared" ca="1" si="10"/>
        <v/>
      </c>
      <c r="X38" s="89">
        <f t="shared" si="11"/>
        <v>59</v>
      </c>
      <c r="Y38" s="82" t="str">
        <f t="shared" ca="1" si="12"/>
        <v>Total</v>
      </c>
      <c r="Z38" s="91">
        <f t="shared" ca="1" si="13"/>
        <v>0</v>
      </c>
      <c r="AA38" s="91">
        <f t="shared" ca="1" si="14"/>
        <v>0</v>
      </c>
      <c r="AB38" s="90" t="str">
        <f t="array" aca="1" ref="AB38" ca="1">IF(is_empty,"",IF(is_header,"% Compl.", IFERROR(out_tracked/out_budget,"-")))</f>
        <v>-</v>
      </c>
      <c r="AC38" s="91">
        <f t="array" aca="1" ref="AC38" ca="1">IF(is_empty,"", IF(is_header, "Remaining", IF(out_budget - out_tracked &gt; 0, out_budget - out_tracked,0)))</f>
        <v>0</v>
      </c>
      <c r="AD38" s="91">
        <f t="shared" ca="1" si="15"/>
        <v>0</v>
      </c>
      <c r="AF38" s="98"/>
      <c r="AK38" s="99"/>
      <c r="AM38" s="98"/>
      <c r="AR38" s="99"/>
      <c r="AT38" s="98"/>
      <c r="BF38" s="99"/>
    </row>
    <row r="39" spans="3:58" x14ac:dyDescent="0.3">
      <c r="C39" s="83">
        <f t="array" ref="C39">IF(C38=-1,-1,
  IF(C38&lt;income_max_row,C38+1,
   IF(C38=income_max_row,income_total_row,
    IF(C38=income_total_row,"/1",
     IF(C38="/1",Fixkosten_Header_Row,
      IF(C38&lt;fixed_costs_max_row,C38+1,
       IF(C38=fixed_costs_max_row,fixed_costs_total_row,
        IF(C38=fixed_costs_total_row,"/2",
         IF(C38="/2",Variablekosten_Header_Row,
          IF(C38&lt;variable_costs_max_row,C38+1,
           IF(C38=variable_costs_max_row,variable_costs_total_row,
            IF(C38=variable_costs_total_row,"/3",
             IF(C38="/3",Investment_Header_Row,
              IF(C38&lt;investment_max_row,C38+1,
               IF(C38=investment_max_row,investment_total_row,-1)))))))))))))))</f>
        <v>-1</v>
      </c>
      <c r="D39" s="84">
        <f t="shared" si="16"/>
        <v>-1</v>
      </c>
      <c r="E39" s="83">
        <f t="array" ref="E39">1*OR(row_id=Einkommen_Header_Row,row_id=Fixkosten_Header_Row,row_id=Variablekosten_Header_Row,row_id=Investment_Header_Row)</f>
        <v>0</v>
      </c>
      <c r="F39" s="82">
        <f t="shared" si="0"/>
        <v>0</v>
      </c>
      <c r="G39" s="82">
        <f t="array" ref="G39">1*OR(row_id=income_total_row,row_id=fixed_costs_total_row,row_id=variable_costs_total_row,row_id=investment_total_row)</f>
        <v>0</v>
      </c>
      <c r="H39" s="82">
        <f t="shared" si="1"/>
        <v>1</v>
      </c>
      <c r="I39" s="83" t="str">
        <f t="array" ref="I39">IFERROR(INDEX('Budget Planning'!$C:$C,header_row_id),"")</f>
        <v/>
      </c>
      <c r="J39" s="82" t="str">
        <f t="array" ref="J39">IFERROR(INDEX('Budget Planning'!$C:$C,row_id),"")</f>
        <v/>
      </c>
      <c r="K39" s="85" t="str" cm="1">
        <f t="array" ref="K39">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39" s="86" t="str">
        <f t="array" ref="L39">IF(OR(is_header,is_empty),"",
INDEX('Budget Planning'!$E:$FA,row_id,
MATCH(IF(selected_period="Jahresübersicht",selected_year,DATE(selected_year,selected_period,1)),'Budget Planning'!$E$9:$FA$9,0)))</f>
        <v/>
      </c>
      <c r="M39" s="87" t="str">
        <f t="array" ref="M39">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39" s="88" t="str">
        <f t="array" ref="N39">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39" s="87" t="str">
        <f t="shared" si="2"/>
        <v/>
      </c>
      <c r="P39" s="6" t="str">
        <f t="shared" ca="1" si="3"/>
        <v/>
      </c>
      <c r="Q39" s="6" t="str">
        <f t="shared" si="4"/>
        <v/>
      </c>
      <c r="R39" s="88" t="str">
        <f t="shared" ca="1" si="5"/>
        <v/>
      </c>
      <c r="S39" s="87" t="str">
        <f t="shared" si="6"/>
        <v/>
      </c>
      <c r="T39" s="6" t="str">
        <f t="shared" si="7"/>
        <v/>
      </c>
      <c r="U39" s="6" t="str">
        <f t="shared" ca="1" si="8"/>
        <v/>
      </c>
      <c r="V39" s="6" t="str">
        <f t="shared" si="9"/>
        <v/>
      </c>
      <c r="W39" s="6" t="str">
        <f t="shared" ca="1" si="10"/>
        <v/>
      </c>
      <c r="X39" s="89">
        <f t="shared" si="11"/>
        <v>-1</v>
      </c>
      <c r="Y39" s="82" t="str">
        <f t="shared" si="12"/>
        <v/>
      </c>
      <c r="Z39" s="91" t="str">
        <f t="shared" si="13"/>
        <v/>
      </c>
      <c r="AA39" s="91" t="str">
        <f t="shared" si="14"/>
        <v/>
      </c>
      <c r="AB39" s="90" t="str">
        <f t="array" ref="AB39">IF(is_empty,"",IF(is_header,"% Compl.", IFERROR(out_tracked/out_budget,"-")))</f>
        <v/>
      </c>
      <c r="AC39" s="91" t="str">
        <f t="array" ref="AC39">IF(is_empty,"", IF(is_header, "Remaining", IF(out_budget - out_tracked &gt; 0, out_budget - out_tracked,0)))</f>
        <v/>
      </c>
      <c r="AD39" s="91" t="str">
        <f t="shared" si="15"/>
        <v/>
      </c>
      <c r="AF39" s="100"/>
      <c r="AG39" s="101"/>
      <c r="AH39" s="101"/>
      <c r="AI39" s="101"/>
      <c r="AJ39" s="101"/>
      <c r="AK39" s="102"/>
      <c r="AM39" s="100"/>
      <c r="AN39" s="101"/>
      <c r="AO39" s="101"/>
      <c r="AP39" s="101"/>
      <c r="AQ39" s="101"/>
      <c r="AR39" s="102"/>
      <c r="AT39" s="100"/>
      <c r="AU39" s="101"/>
      <c r="AV39" s="101"/>
      <c r="AW39" s="101"/>
      <c r="AX39" s="101"/>
      <c r="AY39" s="101"/>
      <c r="AZ39" s="101"/>
      <c r="BA39" s="101"/>
      <c r="BB39" s="101"/>
      <c r="BC39" s="101"/>
      <c r="BD39" s="101"/>
      <c r="BE39" s="101"/>
      <c r="BF39" s="102"/>
    </row>
    <row r="40" spans="3:58" x14ac:dyDescent="0.3">
      <c r="C40" s="83">
        <f t="array" ref="C40">IF(C39=-1,-1,
  IF(C39&lt;income_max_row,C39+1,
   IF(C39=income_max_row,income_total_row,
    IF(C39=income_total_row,"/1",
     IF(C39="/1",Fixkosten_Header_Row,
      IF(C39&lt;fixed_costs_max_row,C39+1,
       IF(C39=fixed_costs_max_row,fixed_costs_total_row,
        IF(C39=fixed_costs_total_row,"/2",
         IF(C39="/2",Variablekosten_Header_Row,
          IF(C39&lt;variable_costs_max_row,C39+1,
           IF(C39=variable_costs_max_row,variable_costs_total_row,
            IF(C39=variable_costs_total_row,"/3",
             IF(C39="/3",Investment_Header_Row,
              IF(C39&lt;investment_max_row,C39+1,
               IF(C39=investment_max_row,investment_total_row,-1)))))))))))))))</f>
        <v>-1</v>
      </c>
      <c r="D40" s="84">
        <f t="shared" si="16"/>
        <v>-1</v>
      </c>
      <c r="E40" s="83">
        <f t="array" ref="E40">1*OR(row_id=Einkommen_Header_Row,row_id=Fixkosten_Header_Row,row_id=Variablekosten_Header_Row,row_id=Investment_Header_Row)</f>
        <v>0</v>
      </c>
      <c r="F40" s="82">
        <f t="shared" si="0"/>
        <v>0</v>
      </c>
      <c r="G40" s="82">
        <f t="array" ref="G40">1*OR(row_id=income_total_row,row_id=fixed_costs_total_row,row_id=variable_costs_total_row,row_id=investment_total_row)</f>
        <v>0</v>
      </c>
      <c r="H40" s="82">
        <f t="shared" si="1"/>
        <v>1</v>
      </c>
      <c r="I40" s="83" t="str">
        <f t="array" ref="I40">IFERROR(INDEX('Budget Planning'!$C:$C,header_row_id),"")</f>
        <v/>
      </c>
      <c r="J40" s="82" t="str">
        <f t="array" ref="J40">IFERROR(INDEX('Budget Planning'!$C:$C,row_id),"")</f>
        <v/>
      </c>
      <c r="K40" s="85" t="str" cm="1">
        <f t="array" ref="K40">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0" s="86" t="str">
        <f t="array" ref="L40">IF(OR(is_header,is_empty),"",
INDEX('Budget Planning'!$E:$FA,row_id,
MATCH(IF(selected_period="Jahresübersicht",selected_year,DATE(selected_year,selected_period,1)),'Budget Planning'!$E$9:$FA$9,0)))</f>
        <v/>
      </c>
      <c r="M40" s="87" t="str">
        <f t="array" ref="M40">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0" s="88" t="str">
        <f t="array" ref="N40">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0" s="87" t="str">
        <f t="shared" si="2"/>
        <v/>
      </c>
      <c r="P40" s="6" t="str">
        <f t="shared" ca="1" si="3"/>
        <v/>
      </c>
      <c r="Q40" s="6" t="str">
        <f t="shared" si="4"/>
        <v/>
      </c>
      <c r="R40" s="88" t="str">
        <f t="shared" ca="1" si="5"/>
        <v/>
      </c>
      <c r="S40" s="87" t="str">
        <f t="shared" si="6"/>
        <v/>
      </c>
      <c r="T40" s="6" t="str">
        <f t="shared" si="7"/>
        <v/>
      </c>
      <c r="U40" s="6" t="str">
        <f t="shared" ca="1" si="8"/>
        <v/>
      </c>
      <c r="V40" s="6" t="str">
        <f t="shared" si="9"/>
        <v/>
      </c>
      <c r="W40" s="6" t="str">
        <f t="shared" ca="1" si="10"/>
        <v/>
      </c>
      <c r="X40" s="89">
        <f t="shared" si="11"/>
        <v>-1</v>
      </c>
      <c r="Y40" s="82" t="str">
        <f t="shared" si="12"/>
        <v/>
      </c>
      <c r="Z40" s="91" t="str">
        <f t="shared" si="13"/>
        <v/>
      </c>
      <c r="AA40" s="91" t="str">
        <f t="shared" si="14"/>
        <v/>
      </c>
      <c r="AB40" s="90" t="str">
        <f t="array" ref="AB40">IF(is_empty,"",IF(is_header,"% Compl.", IFERROR(out_tracked/out_budget,"-")))</f>
        <v/>
      </c>
      <c r="AC40" s="91" t="str">
        <f t="array" ref="AC40">IF(is_empty,"", IF(is_header, "Remaining", IF(out_budget - out_tracked &gt; 0, out_budget - out_tracked,0)))</f>
        <v/>
      </c>
      <c r="AD40" s="91" t="str">
        <f t="shared" si="15"/>
        <v/>
      </c>
    </row>
    <row r="41" spans="3:58" x14ac:dyDescent="0.3">
      <c r="C41" s="83">
        <f t="array" ref="C41">IF(C40=-1,-1,
  IF(C40&lt;income_max_row,C40+1,
   IF(C40=income_max_row,income_total_row,
    IF(C40=income_total_row,"/1",
     IF(C40="/1",Fixkosten_Header_Row,
      IF(C40&lt;fixed_costs_max_row,C40+1,
       IF(C40=fixed_costs_max_row,fixed_costs_total_row,
        IF(C40=fixed_costs_total_row,"/2",
         IF(C40="/2",Variablekosten_Header_Row,
          IF(C40&lt;variable_costs_max_row,C40+1,
           IF(C40=variable_costs_max_row,variable_costs_total_row,
            IF(C40=variable_costs_total_row,"/3",
             IF(C40="/3",Investment_Header_Row,
              IF(C40&lt;investment_max_row,C40+1,
               IF(C40=investment_max_row,investment_total_row,-1)))))))))))))))</f>
        <v>-1</v>
      </c>
      <c r="D41" s="84">
        <f t="shared" si="16"/>
        <v>-1</v>
      </c>
      <c r="E41" s="83">
        <f t="array" ref="E41">1*OR(row_id=Einkommen_Header_Row,row_id=Fixkosten_Header_Row,row_id=Variablekosten_Header_Row,row_id=Investment_Header_Row)</f>
        <v>0</v>
      </c>
      <c r="F41" s="82">
        <f t="shared" si="0"/>
        <v>0</v>
      </c>
      <c r="G41" s="82">
        <f t="array" ref="G41">1*OR(row_id=income_total_row,row_id=fixed_costs_total_row,row_id=variable_costs_total_row,row_id=investment_total_row)</f>
        <v>0</v>
      </c>
      <c r="H41" s="82">
        <f t="shared" si="1"/>
        <v>1</v>
      </c>
      <c r="I41" s="83" t="str">
        <f t="array" ref="I41">IFERROR(INDEX('Budget Planning'!$C:$C,header_row_id),"")</f>
        <v/>
      </c>
      <c r="J41" s="82" t="str">
        <f t="array" ref="J41">IFERROR(INDEX('Budget Planning'!$C:$C,row_id),"")</f>
        <v/>
      </c>
      <c r="K41" s="85" t="str" cm="1">
        <f t="array" ref="K4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1" s="86" t="str">
        <f t="array" ref="L41">IF(OR(is_header,is_empty),"",
INDEX('Budget Planning'!$E:$FA,row_id,
MATCH(IF(selected_period="Jahresübersicht",selected_year,DATE(selected_year,selected_period,1)),'Budget Planning'!$E$9:$FA$9,0)))</f>
        <v/>
      </c>
      <c r="M41" s="87" t="str">
        <f t="array" ref="M41">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1" s="88" t="str">
        <f t="array" ref="N41">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1" s="87" t="str">
        <f t="shared" si="2"/>
        <v/>
      </c>
      <c r="P41" s="6" t="str">
        <f t="shared" ca="1" si="3"/>
        <v/>
      </c>
      <c r="Q41" s="6" t="str">
        <f t="shared" si="4"/>
        <v/>
      </c>
      <c r="R41" s="88" t="str">
        <f t="shared" ca="1" si="5"/>
        <v/>
      </c>
      <c r="S41" s="87" t="str">
        <f t="shared" si="6"/>
        <v/>
      </c>
      <c r="T41" s="6" t="str">
        <f t="shared" si="7"/>
        <v/>
      </c>
      <c r="U41" s="6" t="str">
        <f t="shared" ca="1" si="8"/>
        <v/>
      </c>
      <c r="V41" s="6" t="str">
        <f t="shared" si="9"/>
        <v/>
      </c>
      <c r="W41" s="6" t="str">
        <f t="shared" ca="1" si="10"/>
        <v/>
      </c>
      <c r="X41" s="89">
        <f t="shared" si="11"/>
        <v>-1</v>
      </c>
      <c r="Y41" s="82" t="str">
        <f t="shared" si="12"/>
        <v/>
      </c>
      <c r="Z41" s="91" t="str">
        <f t="shared" si="13"/>
        <v/>
      </c>
      <c r="AA41" s="91" t="str">
        <f t="shared" si="14"/>
        <v/>
      </c>
      <c r="AB41" s="90" t="str">
        <f t="array" ref="AB41">IF(is_empty,"",IF(is_header,"% Compl.", IFERROR(out_tracked/out_budget,"-")))</f>
        <v/>
      </c>
      <c r="AC41" s="91" t="str">
        <f t="array" ref="AC41">IF(is_empty,"", IF(is_header, "Remaining", IF(out_budget - out_tracked &gt; 0, out_budget - out_tracked,0)))</f>
        <v/>
      </c>
      <c r="AD41" s="91" t="str">
        <f t="shared" si="15"/>
        <v/>
      </c>
    </row>
    <row r="42" spans="3:58" x14ac:dyDescent="0.3">
      <c r="C42" s="83">
        <f t="array" ref="C42">IF(C41=-1,-1,
  IF(C41&lt;income_max_row,C41+1,
   IF(C41=income_max_row,income_total_row,
    IF(C41=income_total_row,"/1",
     IF(C41="/1",Fixkosten_Header_Row,
      IF(C41&lt;fixed_costs_max_row,C41+1,
       IF(C41=fixed_costs_max_row,fixed_costs_total_row,
        IF(C41=fixed_costs_total_row,"/2",
         IF(C41="/2",Variablekosten_Header_Row,
          IF(C41&lt;variable_costs_max_row,C41+1,
           IF(C41=variable_costs_max_row,variable_costs_total_row,
            IF(C41=variable_costs_total_row,"/3",
             IF(C41="/3",Investment_Header_Row,
              IF(C41&lt;investment_max_row,C41+1,
               IF(C41=investment_max_row,investment_total_row,-1)))))))))))))))</f>
        <v>-1</v>
      </c>
      <c r="D42" s="84">
        <f t="shared" si="16"/>
        <v>-1</v>
      </c>
      <c r="E42" s="83">
        <f t="array" ref="E42">1*OR(row_id=Einkommen_Header_Row,row_id=Fixkosten_Header_Row,row_id=Variablekosten_Header_Row,row_id=Investment_Header_Row)</f>
        <v>0</v>
      </c>
      <c r="F42" s="82">
        <f t="shared" si="0"/>
        <v>0</v>
      </c>
      <c r="G42" s="82">
        <f t="array" ref="G42">1*OR(row_id=income_total_row,row_id=fixed_costs_total_row,row_id=variable_costs_total_row,row_id=investment_total_row)</f>
        <v>0</v>
      </c>
      <c r="H42" s="82">
        <f t="shared" si="1"/>
        <v>1</v>
      </c>
      <c r="I42" s="83" t="str">
        <f t="array" ref="I42">IFERROR(INDEX('Budget Planning'!$C:$C,header_row_id),"")</f>
        <v/>
      </c>
      <c r="J42" s="82" t="str">
        <f t="array" ref="J42">IFERROR(INDEX('Budget Planning'!$C:$C,row_id),"")</f>
        <v/>
      </c>
      <c r="K42" s="85" t="str" cm="1">
        <f t="array" ref="K42">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2" s="86" t="str">
        <f t="array" ref="L42">IF(OR(is_header,is_empty),"",
INDEX('Budget Planning'!$E:$FA,row_id,
MATCH(IF(selected_period="Jahresübersicht",selected_year,DATE(selected_year,selected_period,1)),'Budget Planning'!$E$9:$FA$9,0)))</f>
        <v/>
      </c>
      <c r="M42" s="87" t="str">
        <f t="array" ref="M42">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2" s="88" t="str">
        <f t="array" ref="N42">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2" s="87" t="str">
        <f t="shared" si="2"/>
        <v/>
      </c>
      <c r="P42" s="6" t="str">
        <f t="shared" ca="1" si="3"/>
        <v/>
      </c>
      <c r="Q42" s="6" t="str">
        <f t="shared" si="4"/>
        <v/>
      </c>
      <c r="R42" s="88" t="str">
        <f t="shared" ca="1" si="5"/>
        <v/>
      </c>
      <c r="S42" s="87" t="str">
        <f t="shared" si="6"/>
        <v/>
      </c>
      <c r="T42" s="6" t="str">
        <f t="shared" si="7"/>
        <v/>
      </c>
      <c r="U42" s="6" t="str">
        <f t="shared" ca="1" si="8"/>
        <v/>
      </c>
      <c r="V42" s="6" t="str">
        <f t="shared" si="9"/>
        <v/>
      </c>
      <c r="W42" s="6" t="str">
        <f t="shared" ca="1" si="10"/>
        <v/>
      </c>
      <c r="X42" s="89">
        <f t="shared" si="11"/>
        <v>-1</v>
      </c>
      <c r="Y42" s="82" t="str">
        <f t="shared" si="12"/>
        <v/>
      </c>
      <c r="Z42" s="91" t="str">
        <f t="shared" si="13"/>
        <v/>
      </c>
      <c r="AA42" s="91" t="str">
        <f t="shared" si="14"/>
        <v/>
      </c>
      <c r="AB42" s="90" t="str">
        <f t="array" ref="AB42">IF(is_empty,"",IF(is_header,"% Compl.", IFERROR(out_tracked/out_budget,"-")))</f>
        <v/>
      </c>
      <c r="AC42" s="91" t="str">
        <f t="array" ref="AC42">IF(is_empty,"", IF(is_header, "Remaining", IF(out_budget - out_tracked &gt; 0, out_budget - out_tracked,0)))</f>
        <v/>
      </c>
      <c r="AD42" s="91" t="str">
        <f t="shared" si="15"/>
        <v/>
      </c>
    </row>
    <row r="43" spans="3:58" x14ac:dyDescent="0.3">
      <c r="C43" s="83">
        <f t="array" ref="C43">IF(C42=-1,-1,
  IF(C42&lt;income_max_row,C42+1,
   IF(C42=income_max_row,income_total_row,
    IF(C42=income_total_row,"/1",
     IF(C42="/1",Fixkosten_Header_Row,
      IF(C42&lt;fixed_costs_max_row,C42+1,
       IF(C42=fixed_costs_max_row,fixed_costs_total_row,
        IF(C42=fixed_costs_total_row,"/2",
         IF(C42="/2",Variablekosten_Header_Row,
          IF(C42&lt;variable_costs_max_row,C42+1,
           IF(C42=variable_costs_max_row,variable_costs_total_row,
            IF(C42=variable_costs_total_row,"/3",
             IF(C42="/3",Investment_Header_Row,
              IF(C42&lt;investment_max_row,C42+1,
               IF(C42=investment_max_row,investment_total_row,-1)))))))))))))))</f>
        <v>-1</v>
      </c>
      <c r="D43" s="84">
        <f t="shared" si="16"/>
        <v>-1</v>
      </c>
      <c r="E43" s="83">
        <f t="array" ref="E43">1*OR(row_id=Einkommen_Header_Row,row_id=Fixkosten_Header_Row,row_id=Variablekosten_Header_Row,row_id=Investment_Header_Row)</f>
        <v>0</v>
      </c>
      <c r="F43" s="82">
        <f t="shared" si="0"/>
        <v>0</v>
      </c>
      <c r="G43" s="82">
        <f t="array" ref="G43">1*OR(row_id=income_total_row,row_id=fixed_costs_total_row,row_id=variable_costs_total_row,row_id=investment_total_row)</f>
        <v>0</v>
      </c>
      <c r="H43" s="82">
        <f t="shared" si="1"/>
        <v>1</v>
      </c>
      <c r="I43" s="83" t="str">
        <f t="array" ref="I43">IFERROR(INDEX('Budget Planning'!$C:$C,header_row_id),"")</f>
        <v/>
      </c>
      <c r="J43" s="82" t="str">
        <f t="array" ref="J43">IFERROR(INDEX('Budget Planning'!$C:$C,row_id),"")</f>
        <v/>
      </c>
      <c r="K43" s="85" t="str" cm="1">
        <f t="array" ref="K43">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3" s="86" t="str">
        <f t="array" ref="L43">IF(OR(is_header,is_empty),"",
INDEX('Budget Planning'!$E:$FA,row_id,
MATCH(IF(selected_period="Jahresübersicht",selected_year,DATE(selected_year,selected_period,1)),'Budget Planning'!$E$9:$FA$9,0)))</f>
        <v/>
      </c>
      <c r="M43" s="87" t="str">
        <f t="array" ref="M43">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3" s="88" t="str">
        <f t="array" ref="N43">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3" s="87" t="str">
        <f t="shared" si="2"/>
        <v/>
      </c>
      <c r="P43" s="6" t="str">
        <f t="shared" ca="1" si="3"/>
        <v/>
      </c>
      <c r="Q43" s="6" t="str">
        <f t="shared" si="4"/>
        <v/>
      </c>
      <c r="R43" s="88" t="str">
        <f t="shared" ca="1" si="5"/>
        <v/>
      </c>
      <c r="S43" s="87" t="str">
        <f t="shared" si="6"/>
        <v/>
      </c>
      <c r="T43" s="6" t="str">
        <f t="shared" si="7"/>
        <v/>
      </c>
      <c r="U43" s="6" t="str">
        <f t="shared" ca="1" si="8"/>
        <v/>
      </c>
      <c r="V43" s="6" t="str">
        <f t="shared" si="9"/>
        <v/>
      </c>
      <c r="W43" s="6" t="str">
        <f t="shared" ca="1" si="10"/>
        <v/>
      </c>
      <c r="X43" s="89">
        <f t="shared" si="11"/>
        <v>-1</v>
      </c>
      <c r="Y43" s="82" t="str">
        <f t="shared" si="12"/>
        <v/>
      </c>
      <c r="Z43" s="91" t="str">
        <f t="shared" si="13"/>
        <v/>
      </c>
      <c r="AA43" s="91" t="str">
        <f t="shared" si="14"/>
        <v/>
      </c>
      <c r="AB43" s="90" t="str">
        <f t="array" ref="AB43">IF(is_empty,"",IF(is_header,"% Compl.", IFERROR(out_tracked/out_budget,"-")))</f>
        <v/>
      </c>
      <c r="AC43" s="91" t="str">
        <f t="array" ref="AC43">IF(is_empty,"", IF(is_header, "Remaining", IF(out_budget - out_tracked &gt; 0, out_budget - out_tracked,0)))</f>
        <v/>
      </c>
      <c r="AD43" s="91" t="str">
        <f t="shared" si="15"/>
        <v/>
      </c>
    </row>
    <row r="44" spans="3:58" x14ac:dyDescent="0.3">
      <c r="C44" s="83">
        <f t="array" ref="C44">IF(C43=-1,-1,
  IF(C43&lt;income_max_row,C43+1,
   IF(C43=income_max_row,income_total_row,
    IF(C43=income_total_row,"/1",
     IF(C43="/1",Fixkosten_Header_Row,
      IF(C43&lt;fixed_costs_max_row,C43+1,
       IF(C43=fixed_costs_max_row,fixed_costs_total_row,
        IF(C43=fixed_costs_total_row,"/2",
         IF(C43="/2",Variablekosten_Header_Row,
          IF(C43&lt;variable_costs_max_row,C43+1,
           IF(C43=variable_costs_max_row,variable_costs_total_row,
            IF(C43=variable_costs_total_row,"/3",
             IF(C43="/3",Investment_Header_Row,
              IF(C43&lt;investment_max_row,C43+1,
               IF(C43=investment_max_row,investment_total_row,-1)))))))))))))))</f>
        <v>-1</v>
      </c>
      <c r="D44" s="84">
        <f t="shared" si="16"/>
        <v>-1</v>
      </c>
      <c r="E44" s="83">
        <f t="array" ref="E44">1*OR(row_id=Einkommen_Header_Row,row_id=Fixkosten_Header_Row,row_id=Variablekosten_Header_Row,row_id=Investment_Header_Row)</f>
        <v>0</v>
      </c>
      <c r="F44" s="82">
        <f t="shared" si="0"/>
        <v>0</v>
      </c>
      <c r="G44" s="82">
        <f t="array" ref="G44">1*OR(row_id=income_total_row,row_id=fixed_costs_total_row,row_id=variable_costs_total_row,row_id=investment_total_row)</f>
        <v>0</v>
      </c>
      <c r="H44" s="82">
        <f t="shared" si="1"/>
        <v>1</v>
      </c>
      <c r="I44" s="83" t="str">
        <f t="array" ref="I44">IFERROR(INDEX('Budget Planning'!$C:$C,header_row_id),"")</f>
        <v/>
      </c>
      <c r="J44" s="82" t="str">
        <f t="array" ref="J44">IFERROR(INDEX('Budget Planning'!$C:$C,row_id),"")</f>
        <v/>
      </c>
      <c r="K44" s="85" t="str" cm="1">
        <f t="array" ref="K44">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4" s="86" t="str">
        <f t="array" ref="L44">IF(OR(is_header,is_empty),"",
INDEX('Budget Planning'!$E:$FA,row_id,
MATCH(IF(selected_period="Jahresübersicht",selected_year,DATE(selected_year,selected_period,1)),'Budget Planning'!$E$9:$FA$9,0)))</f>
        <v/>
      </c>
      <c r="M44" s="87" t="str">
        <f t="array" ref="M44">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4" s="88" t="str">
        <f t="array" ref="N44">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4" s="87" t="str">
        <f t="shared" si="2"/>
        <v/>
      </c>
      <c r="P44" s="6" t="str">
        <f t="shared" ca="1" si="3"/>
        <v/>
      </c>
      <c r="Q44" s="6" t="str">
        <f t="shared" si="4"/>
        <v/>
      </c>
      <c r="R44" s="88" t="str">
        <f t="shared" ca="1" si="5"/>
        <v/>
      </c>
      <c r="S44" s="87" t="str">
        <f t="shared" si="6"/>
        <v/>
      </c>
      <c r="T44" s="6" t="str">
        <f t="shared" si="7"/>
        <v/>
      </c>
      <c r="U44" s="6" t="str">
        <f t="shared" ca="1" si="8"/>
        <v/>
      </c>
      <c r="V44" s="6" t="str">
        <f t="shared" si="9"/>
        <v/>
      </c>
      <c r="W44" s="6" t="str">
        <f t="shared" ca="1" si="10"/>
        <v/>
      </c>
      <c r="X44" s="89">
        <f t="shared" si="11"/>
        <v>-1</v>
      </c>
      <c r="Y44" s="82" t="str">
        <f t="shared" si="12"/>
        <v/>
      </c>
      <c r="Z44" s="91" t="str">
        <f t="shared" si="13"/>
        <v/>
      </c>
      <c r="AA44" s="91" t="str">
        <f t="shared" si="14"/>
        <v/>
      </c>
      <c r="AB44" s="90" t="str">
        <f t="array" ref="AB44">IF(is_empty,"",IF(is_header,"% Compl.", IFERROR(out_tracked/out_budget,"-")))</f>
        <v/>
      </c>
      <c r="AC44" s="91" t="str">
        <f t="array" ref="AC44">IF(is_empty,"", IF(is_header, "Remaining", IF(out_budget - out_tracked &gt; 0, out_budget - out_tracked,0)))</f>
        <v/>
      </c>
      <c r="AD44" s="91" t="str">
        <f t="shared" si="15"/>
        <v/>
      </c>
    </row>
    <row r="45" spans="3:58" x14ac:dyDescent="0.3">
      <c r="C45" s="83">
        <f t="array" ref="C45">IF(C44=-1,-1,
  IF(C44&lt;income_max_row,C44+1,
   IF(C44=income_max_row,income_total_row,
    IF(C44=income_total_row,"/1",
     IF(C44="/1",Fixkosten_Header_Row,
      IF(C44&lt;fixed_costs_max_row,C44+1,
       IF(C44=fixed_costs_max_row,fixed_costs_total_row,
        IF(C44=fixed_costs_total_row,"/2",
         IF(C44="/2",Variablekosten_Header_Row,
          IF(C44&lt;variable_costs_max_row,C44+1,
           IF(C44=variable_costs_max_row,variable_costs_total_row,
            IF(C44=variable_costs_total_row,"/3",
             IF(C44="/3",Investment_Header_Row,
              IF(C44&lt;investment_max_row,C44+1,
               IF(C44=investment_max_row,investment_total_row,-1)))))))))))))))</f>
        <v>-1</v>
      </c>
      <c r="D45" s="84" t="b">
        <v>1</v>
      </c>
      <c r="E45" s="83">
        <f t="array" ref="E45">1*OR(row_id=Einkommen_Header_Row,row_id=Fixkosten_Header_Row,row_id=Variablekosten_Header_Row,row_id=Investment_Header_Row)</f>
        <v>0</v>
      </c>
      <c r="F45" s="82">
        <f t="shared" ref="F45:F63" si="17">1*NOT(OR(is_header,is_total,is_empty))</f>
        <v>0</v>
      </c>
      <c r="G45" s="82">
        <f t="array" ref="G45">1*OR(row_id=income_total_row,row_id=fixed_costs_total_row,row_id=variable_costs_total_row,row_id=investment_total_row)</f>
        <v>0</v>
      </c>
      <c r="H45" s="82">
        <f t="shared" ref="H45:H63" si="18">1*OR(row_id="/1", row_id="/2",row_id="/3",row_id=-1)</f>
        <v>1</v>
      </c>
      <c r="I45" s="83">
        <f t="array" ref="I45">IFERROR(INDEX('Budget Planning'!$C:$C,header_row_id),"")</f>
        <v>0</v>
      </c>
      <c r="J45" s="82" t="str">
        <f t="array" ref="J45">IFERROR(INDEX('Budget Planning'!$C:$C,row_id),"")</f>
        <v/>
      </c>
      <c r="K45" s="85" t="str" cm="1">
        <f t="array" ref="K45">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5" s="86" t="str">
        <f t="array" ref="L45">IF(OR(is_header,is_empty),"",
INDEX('Budget Planning'!$E:$FA,row_id,
MATCH(IF(selected_period="Jahresübersicht",selected_year,DATE(selected_year,selected_period,1)),'Budget Planning'!$E$9:$FA$9,0)))</f>
        <v/>
      </c>
      <c r="M45" s="87" t="str">
        <f t="array" ref="M45">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5" s="88" t="str">
        <f t="array" ref="N45">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5" s="87" t="str">
        <f t="shared" ref="O45:O63" si="19">IF(is_cat, ADDRESS(sort_min_row, COLUMN(tracked)) &amp; ":" &amp; ADDRESS(sort_max_row, COLUMN(tracked)),"")</f>
        <v/>
      </c>
      <c r="P45" s="6" t="str">
        <f t="shared" ref="P45:P63" ca="1" si="20">IF(is_cat, RANK(tracked, INDIRECT(tracked_range),0),"")</f>
        <v/>
      </c>
      <c r="Q45" s="6" t="str">
        <f t="shared" ref="Q45:Q63" si="21">IF(is_cat, ADDRESS(sort_min_row, COLUMN(budget)) &amp; ":" &amp; ADDRESS(sort_max_row, COLUMN(budget)),"")</f>
        <v/>
      </c>
      <c r="R45" s="88" t="str">
        <f t="shared" ref="R45:R63" ca="1" si="22">IF(is_cat, RANK(budget, INDIRECT(budget_range),0),"")</f>
        <v/>
      </c>
      <c r="S45" s="87" t="str">
        <f t="shared" ref="S45:S63" si="23">IF(is_cat, _xlfn.NUMBERVALUE(tracked_rank &amp; budget_rank),"")</f>
        <v/>
      </c>
      <c r="T45" s="6" t="str">
        <f t="shared" ref="T45:T63" si="24">IF(is_cat, ADDRESS(sort_min_row, COLUMN(comb_rank)) &amp; ":" &amp; ADDRESS(sort_max_row, COLUMN(comb_rank)),"")</f>
        <v/>
      </c>
      <c r="U45" s="6" t="str">
        <f t="shared" ref="U45:U63" ca="1" si="25">IF(is_cat, RANK(comb_rank, INDIRECT(comb_rank_range),1),"")</f>
        <v/>
      </c>
      <c r="V45" s="6" t="str">
        <f t="shared" ref="V45:V63" si="26">IF(is_cat, ADDRESS(sort_min_row, COLUMN(comb_rank_norm)) &amp; ":" &amp; ADDRESS(ROW(), COLUMN(comb_rank_norm)),"")</f>
        <v/>
      </c>
      <c r="W45" s="6" t="str">
        <f t="shared" ref="W45:W63" ca="1" si="27">IF(is_cat,comb_rank_norm + COUNTIF(INDIRECT(comb_rank_norm_run_range),comb_rank_norm)-1,"")</f>
        <v/>
      </c>
      <c r="X45" s="89">
        <f t="shared" ref="X45:X63" si="28">IF(is_cat, header_row_id + comb_rank_unique, row_id)</f>
        <v>-1</v>
      </c>
      <c r="Y45" s="82" t="str">
        <f t="shared" ref="Y45:Y63" si="29">IF(is_empty, "", INDEX($J:$J, MATCH(row_id, $X:$X,0)))</f>
        <v/>
      </c>
      <c r="Z45" s="91" t="str">
        <f t="shared" ref="Z45:Z63" si="30">IF(is_empty,"", IF(is_header,"Tracked",INDEX($K:$K, MATCH(row_id, $X:$X,0))))</f>
        <v/>
      </c>
      <c r="AA45" s="91" t="str">
        <f t="shared" ref="AA45:AA63" si="31">IF(is_empty,"", IF(is_header,"Budget",INDEX($L:$L, MATCH(row_id, $X:$X,0))))</f>
        <v/>
      </c>
      <c r="AB45" s="90" t="str">
        <f t="array" ref="AB45">IF(is_empty,"",IF(is_header,"% Compl.", IFERROR(out_tracked/out_budget,"-")))</f>
        <v/>
      </c>
      <c r="AC45" s="91" t="str">
        <f t="array" ref="AC45">IF(is_empty,"", IF(is_header, "Remaining", IF(out_budget - out_tracked &gt; 0, out_budget - out_tracked,0)))</f>
        <v/>
      </c>
      <c r="AD45" s="91" t="str">
        <f t="shared" ref="AD45:AD63" si="32">IF(is_empty,"", IF(is_header, "Excess", IF(out_budget - out_tracked &lt; 0, out_tracked - out_budget,0)))</f>
        <v/>
      </c>
    </row>
    <row r="46" spans="3:58" x14ac:dyDescent="0.3">
      <c r="C46" s="83">
        <f t="array" ref="C46">IF(C45=-1,-1,
  IF(C45&lt;income_max_row,C45+1,
   IF(C45=income_max_row,income_total_row,
    IF(C45=income_total_row,"/1",
     IF(C45="/1",Fixkosten_Header_Row,
      IF(C45&lt;fixed_costs_max_row,C45+1,
       IF(C45=fixed_costs_max_row,fixed_costs_total_row,
        IF(C45=fixed_costs_total_row,"/2",
         IF(C45="/2",Variablekosten_Header_Row,
          IF(C45&lt;variable_costs_max_row,C45+1,
           IF(C45=variable_costs_max_row,variable_costs_total_row,
            IF(C45=variable_costs_total_row,"/3",
             IF(C45="/3",Investment_Header_Row,
              IF(C45&lt;investment_max_row,C45+1,
               IF(C45=investment_max_row,investment_total_row,-1)))))))))))))))</f>
        <v>-1</v>
      </c>
      <c r="D46" s="84">
        <f>IF(is_header,row_id,
  IF(NOT(is_empty),D45,-1))</f>
        <v>-1</v>
      </c>
      <c r="E46" s="83">
        <f t="array" ref="E46">1*OR(row_id=Einkommen_Header_Row,row_id=Fixkosten_Header_Row,row_id=Variablekosten_Header_Row,row_id=Investment_Header_Row)</f>
        <v>0</v>
      </c>
      <c r="F46" s="82">
        <f t="shared" si="17"/>
        <v>0</v>
      </c>
      <c r="G46" s="82">
        <f t="array" ref="G46">1*OR(row_id=income_total_row,row_id=fixed_costs_total_row,row_id=variable_costs_total_row,row_id=investment_total_row)</f>
        <v>0</v>
      </c>
      <c r="H46" s="82">
        <f t="shared" si="18"/>
        <v>1</v>
      </c>
      <c r="I46" s="83" t="str">
        <f t="array" ref="I46">IFERROR(INDEX('Budget Planning'!$C:$C,header_row_id),"")</f>
        <v/>
      </c>
      <c r="J46" s="82" t="str">
        <f t="array" ref="J46">IFERROR(INDEX('Budget Planning'!$C:$C,row_id),"")</f>
        <v/>
      </c>
      <c r="K46" s="85" t="str" cm="1">
        <f t="array" ref="K46">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6" s="86" t="str">
        <f t="array" ref="L46">IF(OR(is_header,is_empty),"",
INDEX('Budget Planning'!$E:$FA,row_id,
MATCH(IF(selected_period="Jahresübersicht",selected_year,DATE(selected_year,selected_period,1)),'Budget Planning'!$E$9:$FA$9,0)))</f>
        <v/>
      </c>
      <c r="M46" s="87" t="str">
        <f t="array" ref="M46">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6" s="88" t="str">
        <f t="array" ref="N46">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6" s="87" t="str">
        <f t="shared" si="19"/>
        <v/>
      </c>
      <c r="P46" s="6" t="str">
        <f t="shared" ca="1" si="20"/>
        <v/>
      </c>
      <c r="Q46" s="6" t="str">
        <f t="shared" si="21"/>
        <v/>
      </c>
      <c r="R46" s="88" t="str">
        <f t="shared" ca="1" si="22"/>
        <v/>
      </c>
      <c r="S46" s="87" t="str">
        <f t="shared" si="23"/>
        <v/>
      </c>
      <c r="T46" s="6" t="str">
        <f t="shared" si="24"/>
        <v/>
      </c>
      <c r="U46" s="6" t="str">
        <f t="shared" ca="1" si="25"/>
        <v/>
      </c>
      <c r="V46" s="6" t="str">
        <f t="shared" si="26"/>
        <v/>
      </c>
      <c r="W46" s="6" t="str">
        <f t="shared" ca="1" si="27"/>
        <v/>
      </c>
      <c r="X46" s="89">
        <f t="shared" si="28"/>
        <v>-1</v>
      </c>
      <c r="Y46" s="82" t="str">
        <f t="shared" si="29"/>
        <v/>
      </c>
      <c r="Z46" s="91" t="str">
        <f t="shared" si="30"/>
        <v/>
      </c>
      <c r="AA46" s="91" t="str">
        <f t="shared" si="31"/>
        <v/>
      </c>
      <c r="AB46" s="90" t="str">
        <f t="array" ref="AB46">IF(is_empty,"",IF(is_header,"% Compl.", IFERROR(out_tracked/out_budget,"-")))</f>
        <v/>
      </c>
      <c r="AC46" s="91" t="str">
        <f t="array" ref="AC46">IF(is_empty,"", IF(is_header, "Remaining", IF(out_budget - out_tracked &gt; 0, out_budget - out_tracked,0)))</f>
        <v/>
      </c>
      <c r="AD46" s="91" t="str">
        <f t="shared" si="32"/>
        <v/>
      </c>
    </row>
    <row r="47" spans="3:58" x14ac:dyDescent="0.3">
      <c r="C47" s="83">
        <f t="array" ref="C47">IF(C46=-1,-1,
  IF(C46&lt;income_max_row,C46+1,
   IF(C46=income_max_row,income_total_row,
    IF(C46=income_total_row,"/1",
     IF(C46="/1",Fixkosten_Header_Row,
      IF(C46&lt;fixed_costs_max_row,C46+1,
       IF(C46=fixed_costs_max_row,fixed_costs_total_row,
        IF(C46=fixed_costs_total_row,"/2",
         IF(C46="/2",Variablekosten_Header_Row,
          IF(C46&lt;variable_costs_max_row,C46+1,
           IF(C46=variable_costs_max_row,variable_costs_total_row,
            IF(C46=variable_costs_total_row,"/3",
             IF(C46="/3",Investment_Header_Row,
              IF(C46&lt;investment_max_row,C46+1,
               IF(C46=investment_max_row,investment_total_row,-1)))))))))))))))</f>
        <v>-1</v>
      </c>
      <c r="D47" s="84">
        <f>IF(is_header,row_id,
IF(NOT(is_empty),D46,-1))</f>
        <v>-1</v>
      </c>
      <c r="E47" s="83">
        <f t="array" ref="E47">1*OR(row_id=Einkommen_Header_Row,row_id=Fixkosten_Header_Row,row_id=Variablekosten_Header_Row,row_id=Investment_Header_Row)</f>
        <v>0</v>
      </c>
      <c r="F47" s="82">
        <f t="shared" si="17"/>
        <v>0</v>
      </c>
      <c r="G47" s="82">
        <f t="array" ref="G47">1*OR(row_id=income_total_row,row_id=fixed_costs_total_row,row_id=variable_costs_total_row,row_id=investment_total_row)</f>
        <v>0</v>
      </c>
      <c r="H47" s="82">
        <f t="shared" si="18"/>
        <v>1</v>
      </c>
      <c r="I47" s="83" t="str">
        <f t="array" ref="I47">IFERROR(INDEX('Budget Planning'!$C:$C,header_row_id),"")</f>
        <v/>
      </c>
      <c r="J47" s="82" t="str">
        <f t="array" ref="J47">IFERROR(INDEX('Budget Planning'!$C:$C,row_id),"")</f>
        <v/>
      </c>
      <c r="K47" s="85" t="str" cm="1">
        <f t="array" ref="K47">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7" s="86" t="str">
        <f t="array" ref="L47">IF(OR(is_header,is_empty),"",
INDEX('Budget Planning'!$E:$FA,row_id,
MATCH(IF(selected_period="Jahresübersicht",selected_year,DATE(selected_year,selected_period,1)),'Budget Planning'!$E$9:$FA$9,0)))</f>
        <v/>
      </c>
      <c r="M47" s="87" t="str">
        <f t="array" ref="M47">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7" s="88" t="str">
        <f t="array" ref="N47">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7" s="87" t="str">
        <f t="shared" si="19"/>
        <v/>
      </c>
      <c r="P47" s="6" t="str">
        <f t="shared" ca="1" si="20"/>
        <v/>
      </c>
      <c r="Q47" s="6" t="str">
        <f t="shared" si="21"/>
        <v/>
      </c>
      <c r="R47" s="88" t="str">
        <f t="shared" ca="1" si="22"/>
        <v/>
      </c>
      <c r="S47" s="87" t="str">
        <f t="shared" si="23"/>
        <v/>
      </c>
      <c r="T47" s="6" t="str">
        <f t="shared" si="24"/>
        <v/>
      </c>
      <c r="U47" s="6" t="str">
        <f t="shared" ca="1" si="25"/>
        <v/>
      </c>
      <c r="V47" s="6" t="str">
        <f t="shared" si="26"/>
        <v/>
      </c>
      <c r="W47" s="6" t="str">
        <f t="shared" ca="1" si="27"/>
        <v/>
      </c>
      <c r="X47" s="89">
        <f t="shared" si="28"/>
        <v>-1</v>
      </c>
      <c r="Y47" s="82" t="str">
        <f t="shared" si="29"/>
        <v/>
      </c>
      <c r="Z47" s="91" t="str">
        <f t="shared" si="30"/>
        <v/>
      </c>
      <c r="AA47" s="91" t="str">
        <f t="shared" si="31"/>
        <v/>
      </c>
      <c r="AB47" s="90" t="str">
        <f t="array" ref="AB47">IF(is_empty,"",IF(is_header,"% Compl.", IFERROR(out_tracked/out_budget,"-")))</f>
        <v/>
      </c>
      <c r="AC47" s="91" t="str">
        <f t="array" ref="AC47">IF(is_empty,"", IF(is_header, "Remaining", IF(out_budget - out_tracked &gt; 0, out_budget - out_tracked,0)))</f>
        <v/>
      </c>
      <c r="AD47" s="91" t="str">
        <f t="shared" si="32"/>
        <v/>
      </c>
    </row>
    <row r="48" spans="3:58" x14ac:dyDescent="0.3">
      <c r="C48" s="83">
        <f t="array" ref="C48">IF(C47=-1,-1,
  IF(C47&lt;income_max_row,C47+1,
   IF(C47=income_max_row,income_total_row,
    IF(C47=income_total_row,"/1",
     IF(C47="/1",Fixkosten_Header_Row,
      IF(C47&lt;fixed_costs_max_row,C47+1,
       IF(C47=fixed_costs_max_row,fixed_costs_total_row,
        IF(C47=fixed_costs_total_row,"/2",
         IF(C47="/2",Variablekosten_Header_Row,
          IF(C47&lt;variable_costs_max_row,C47+1,
           IF(C47=variable_costs_max_row,variable_costs_total_row,
            IF(C47=variable_costs_total_row,"/3",
             IF(C47="/3",Investment_Header_Row,
              IF(C47&lt;investment_max_row,C47+1,
               IF(C47=investment_max_row,investment_total_row,-1)))))))))))))))</f>
        <v>-1</v>
      </c>
      <c r="D48" s="84">
        <f>IF(is_header,row_id,
IF(NOT(is_empty),D47,-1))</f>
        <v>-1</v>
      </c>
      <c r="E48" s="83">
        <f t="array" ref="E48">1*OR(row_id=Einkommen_Header_Row,row_id=Fixkosten_Header_Row,row_id=Variablekosten_Header_Row,row_id=Investment_Header_Row)</f>
        <v>0</v>
      </c>
      <c r="F48" s="82">
        <f t="shared" si="17"/>
        <v>0</v>
      </c>
      <c r="G48" s="82">
        <f t="array" ref="G48">1*OR(row_id=income_total_row,row_id=fixed_costs_total_row,row_id=variable_costs_total_row,row_id=investment_total_row)</f>
        <v>0</v>
      </c>
      <c r="H48" s="82">
        <f t="shared" si="18"/>
        <v>1</v>
      </c>
      <c r="I48" s="83" t="str">
        <f t="array" ref="I48">IFERROR(INDEX('Budget Planning'!$C:$C,header_row_id),"")</f>
        <v/>
      </c>
      <c r="J48" s="82" t="str">
        <f t="array" ref="J48">IFERROR(INDEX('Budget Planning'!$C:$C,row_id),"")</f>
        <v/>
      </c>
      <c r="K48" s="85" t="str" cm="1">
        <f t="array" ref="K48">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8" s="86" t="str">
        <f t="array" ref="L48">IF(OR(is_header,is_empty),"",
INDEX('Budget Planning'!$E:$FA,row_id,
MATCH(IF(selected_period="Jahresübersicht",selected_year,DATE(selected_year,selected_period,1)),'Budget Planning'!$E$9:$FA$9,0)))</f>
        <v/>
      </c>
      <c r="M48" s="87" t="str">
        <f t="array" ref="M48">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8" s="88" t="str">
        <f t="array" ref="N48">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8" s="87" t="str">
        <f t="shared" si="19"/>
        <v/>
      </c>
      <c r="P48" s="6" t="str">
        <f t="shared" ca="1" si="20"/>
        <v/>
      </c>
      <c r="Q48" s="6" t="str">
        <f t="shared" si="21"/>
        <v/>
      </c>
      <c r="R48" s="88" t="str">
        <f t="shared" ca="1" si="22"/>
        <v/>
      </c>
      <c r="S48" s="87" t="str">
        <f t="shared" si="23"/>
        <v/>
      </c>
      <c r="T48" s="6" t="str">
        <f t="shared" si="24"/>
        <v/>
      </c>
      <c r="U48" s="6" t="str">
        <f t="shared" ca="1" si="25"/>
        <v/>
      </c>
      <c r="V48" s="6" t="str">
        <f t="shared" si="26"/>
        <v/>
      </c>
      <c r="W48" s="6" t="str">
        <f t="shared" ca="1" si="27"/>
        <v/>
      </c>
      <c r="X48" s="89">
        <f t="shared" si="28"/>
        <v>-1</v>
      </c>
      <c r="Y48" s="82" t="str">
        <f t="shared" si="29"/>
        <v/>
      </c>
      <c r="Z48" s="91" t="str">
        <f t="shared" si="30"/>
        <v/>
      </c>
      <c r="AA48" s="91" t="str">
        <f t="shared" si="31"/>
        <v/>
      </c>
      <c r="AB48" s="90" t="str">
        <f t="array" ref="AB48">IF(is_empty,"",IF(is_header,"% Compl.", IFERROR(out_tracked/out_budget,"-")))</f>
        <v/>
      </c>
      <c r="AC48" s="91" t="str">
        <f t="array" ref="AC48">IF(is_empty,"", IF(is_header, "Remaining", IF(out_budget - out_tracked &gt; 0, out_budget - out_tracked,0)))</f>
        <v/>
      </c>
      <c r="AD48" s="91" t="str">
        <f t="shared" si="32"/>
        <v/>
      </c>
    </row>
    <row r="49" spans="3:30" x14ac:dyDescent="0.3">
      <c r="C49" s="83">
        <f t="array" ref="C49">IF(C48=-1,-1,
  IF(C48&lt;income_max_row,C48+1,
   IF(C48=income_max_row,income_total_row,
    IF(C48=income_total_row,"/1",
     IF(C48="/1",Fixkosten_Header_Row,
      IF(C48&lt;fixed_costs_max_row,C48+1,
       IF(C48=fixed_costs_max_row,fixed_costs_total_row,
        IF(C48=fixed_costs_total_row,"/2",
         IF(C48="/2",Variablekosten_Header_Row,
          IF(C48&lt;variable_costs_max_row,C48+1,
           IF(C48=variable_costs_max_row,variable_costs_total_row,
            IF(C48=variable_costs_total_row,"/3",
             IF(C48="/3",Investment_Header_Row,
              IF(C48&lt;investment_max_row,C48+1,
               IF(C48=investment_max_row,investment_total_row,-1)))))))))))))))</f>
        <v>-1</v>
      </c>
      <c r="D49" s="84" t="b">
        <v>1</v>
      </c>
      <c r="E49" s="83">
        <f t="array" ref="E49">1*OR(row_id=Einkommen_Header_Row,row_id=Fixkosten_Header_Row,row_id=Variablekosten_Header_Row,row_id=Investment_Header_Row)</f>
        <v>0</v>
      </c>
      <c r="F49" s="82">
        <f t="shared" si="17"/>
        <v>0</v>
      </c>
      <c r="G49" s="82">
        <f t="array" ref="G49">1*OR(row_id=income_total_row,row_id=fixed_costs_total_row,row_id=variable_costs_total_row,row_id=investment_total_row)</f>
        <v>0</v>
      </c>
      <c r="H49" s="82">
        <f t="shared" si="18"/>
        <v>1</v>
      </c>
      <c r="I49" s="83">
        <f t="array" ref="I49">IFERROR(INDEX('Budget Planning'!$C:$C,header_row_id),"")</f>
        <v>0</v>
      </c>
      <c r="J49" s="82" t="str">
        <f t="array" ref="J49">IFERROR(INDEX('Budget Planning'!$C:$C,row_id),"")</f>
        <v/>
      </c>
      <c r="K49" s="85" t="str" cm="1">
        <f t="array" ref="K49">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49" s="86" t="str">
        <f t="array" ref="L49">IF(OR(is_header,is_empty),"",
INDEX('Budget Planning'!$E:$FA,row_id,
MATCH(IF(selected_period="Jahresübersicht",selected_year,DATE(selected_year,selected_period,1)),'Budget Planning'!$E$9:$FA$9,0)))</f>
        <v/>
      </c>
      <c r="M49" s="87" t="str">
        <f t="array" ref="M49">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49" s="88" t="str">
        <f t="array" ref="N49">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49" s="87" t="str">
        <f t="shared" si="19"/>
        <v/>
      </c>
      <c r="P49" s="6" t="str">
        <f t="shared" ca="1" si="20"/>
        <v/>
      </c>
      <c r="Q49" s="6" t="str">
        <f t="shared" si="21"/>
        <v/>
      </c>
      <c r="R49" s="88" t="str">
        <f t="shared" ca="1" si="22"/>
        <v/>
      </c>
      <c r="S49" s="87" t="str">
        <f t="shared" si="23"/>
        <v/>
      </c>
      <c r="T49" s="6" t="str">
        <f t="shared" si="24"/>
        <v/>
      </c>
      <c r="U49" s="6" t="str">
        <f t="shared" ca="1" si="25"/>
        <v/>
      </c>
      <c r="V49" s="6" t="str">
        <f t="shared" si="26"/>
        <v/>
      </c>
      <c r="W49" s="6" t="str">
        <f t="shared" ca="1" si="27"/>
        <v/>
      </c>
      <c r="X49" s="89">
        <f t="shared" si="28"/>
        <v>-1</v>
      </c>
      <c r="Y49" s="82" t="str">
        <f t="shared" si="29"/>
        <v/>
      </c>
      <c r="Z49" s="91" t="str">
        <f t="shared" si="30"/>
        <v/>
      </c>
      <c r="AA49" s="91" t="str">
        <f t="shared" si="31"/>
        <v/>
      </c>
      <c r="AB49" s="90" t="str">
        <f t="array" ref="AB49">IF(is_empty,"",IF(is_header,"% Compl.", IFERROR(out_tracked/out_budget,"-")))</f>
        <v/>
      </c>
      <c r="AC49" s="91" t="str">
        <f t="array" ref="AC49">IF(is_empty,"", IF(is_header, "Remaining", IF(out_budget - out_tracked &gt; 0, out_budget - out_tracked,0)))</f>
        <v/>
      </c>
      <c r="AD49" s="91" t="str">
        <f t="shared" si="32"/>
        <v/>
      </c>
    </row>
    <row r="50" spans="3:30" x14ac:dyDescent="0.3">
      <c r="C50" s="83">
        <f t="array" ref="C50">IF(C49=-1,-1,
  IF(C49&lt;income_max_row,C49+1,
   IF(C49=income_max_row,income_total_row,
    IF(C49=income_total_row,"/1",
     IF(C49="/1",Fixkosten_Header_Row,
      IF(C49&lt;fixed_costs_max_row,C49+1,
       IF(C49=fixed_costs_max_row,fixed_costs_total_row,
        IF(C49=fixed_costs_total_row,"/2",
         IF(C49="/2",Variablekosten_Header_Row,
          IF(C49&lt;variable_costs_max_row,C49+1,
           IF(C49=variable_costs_max_row,variable_costs_total_row,
            IF(C49=variable_costs_total_row,"/3",
             IF(C49="/3",Investment_Header_Row,
              IF(C49&lt;investment_max_row,C49+1,
               IF(C49=investment_max_row,investment_total_row,-1)))))))))))))))</f>
        <v>-1</v>
      </c>
      <c r="D50" s="84">
        <f t="shared" ref="D50:D63" si="33">IF(is_header,row_id,
IF(NOT(is_empty),D49,-1))</f>
        <v>-1</v>
      </c>
      <c r="E50" s="83">
        <f t="array" ref="E50">1*OR(row_id=Einkommen_Header_Row,row_id=Fixkosten_Header_Row,row_id=Variablekosten_Header_Row,row_id=Investment_Header_Row)</f>
        <v>0</v>
      </c>
      <c r="F50" s="82">
        <f t="shared" si="17"/>
        <v>0</v>
      </c>
      <c r="G50" s="82">
        <f t="array" ref="G50">1*OR(row_id=income_total_row,row_id=fixed_costs_total_row,row_id=variable_costs_total_row,row_id=investment_total_row)</f>
        <v>0</v>
      </c>
      <c r="H50" s="82">
        <f t="shared" si="18"/>
        <v>1</v>
      </c>
      <c r="I50" s="83" t="str">
        <f t="array" ref="I50">IFERROR(INDEX('Budget Planning'!$C:$C,header_row_id),"")</f>
        <v/>
      </c>
      <c r="J50" s="82" t="str">
        <f t="array" ref="J50">IFERROR(INDEX('Budget Planning'!$C:$C,row_id),"")</f>
        <v/>
      </c>
      <c r="K50" s="85" t="str" cm="1">
        <f t="array" ref="K50">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0" s="86" t="str">
        <f t="array" ref="L50">IF(OR(is_header,is_empty),"",
INDEX('Budget Planning'!$E:$FA,row_id,
MATCH(IF(selected_period="Jahresübersicht",selected_year,DATE(selected_year,selected_period,1)),'Budget Planning'!$E$9:$FA$9,0)))</f>
        <v/>
      </c>
      <c r="M50" s="87" t="str">
        <f t="array" ref="M50">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0" s="88" t="str">
        <f t="array" ref="N50">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0" s="87" t="str">
        <f t="shared" si="19"/>
        <v/>
      </c>
      <c r="P50" s="6" t="str">
        <f t="shared" ca="1" si="20"/>
        <v/>
      </c>
      <c r="Q50" s="6" t="str">
        <f t="shared" si="21"/>
        <v/>
      </c>
      <c r="R50" s="88" t="str">
        <f t="shared" ca="1" si="22"/>
        <v/>
      </c>
      <c r="S50" s="87" t="str">
        <f t="shared" si="23"/>
        <v/>
      </c>
      <c r="T50" s="6" t="str">
        <f t="shared" si="24"/>
        <v/>
      </c>
      <c r="U50" s="6" t="str">
        <f t="shared" ca="1" si="25"/>
        <v/>
      </c>
      <c r="V50" s="6" t="str">
        <f t="shared" si="26"/>
        <v/>
      </c>
      <c r="W50" s="6" t="str">
        <f t="shared" ca="1" si="27"/>
        <v/>
      </c>
      <c r="X50" s="89">
        <f t="shared" si="28"/>
        <v>-1</v>
      </c>
      <c r="Y50" s="82" t="str">
        <f t="shared" si="29"/>
        <v/>
      </c>
      <c r="Z50" s="91" t="str">
        <f t="shared" si="30"/>
        <v/>
      </c>
      <c r="AA50" s="91" t="str">
        <f t="shared" si="31"/>
        <v/>
      </c>
      <c r="AB50" s="90" t="str">
        <f t="array" ref="AB50">IF(is_empty,"",IF(is_header,"% Compl.", IFERROR(out_tracked/out_budget,"-")))</f>
        <v/>
      </c>
      <c r="AC50" s="91" t="str">
        <f t="array" ref="AC50">IF(is_empty,"", IF(is_header, "Remaining", IF(out_budget - out_tracked &gt; 0, out_budget - out_tracked,0)))</f>
        <v/>
      </c>
      <c r="AD50" s="91" t="str">
        <f t="shared" si="32"/>
        <v/>
      </c>
    </row>
    <row r="51" spans="3:30" x14ac:dyDescent="0.3">
      <c r="C51" s="83">
        <f t="array" ref="C51">IF(C50=-1,-1,
  IF(C50&lt;income_max_row,C50+1,
   IF(C50=income_max_row,income_total_row,
    IF(C50=income_total_row,"/1",
     IF(C50="/1",Fixkosten_Header_Row,
      IF(C50&lt;fixed_costs_max_row,C50+1,
       IF(C50=fixed_costs_max_row,fixed_costs_total_row,
        IF(C50=fixed_costs_total_row,"/2",
         IF(C50="/2",Variablekosten_Header_Row,
          IF(C50&lt;variable_costs_max_row,C50+1,
           IF(C50=variable_costs_max_row,variable_costs_total_row,
            IF(C50=variable_costs_total_row,"/3",
             IF(C50="/3",Investment_Header_Row,
              IF(C50&lt;investment_max_row,C50+1,
               IF(C50=investment_max_row,investment_total_row,-1)))))))))))))))</f>
        <v>-1</v>
      </c>
      <c r="D51" s="84">
        <f t="shared" si="33"/>
        <v>-1</v>
      </c>
      <c r="E51" s="83">
        <f t="array" ref="E51">1*OR(row_id=Einkommen_Header_Row,row_id=Fixkosten_Header_Row,row_id=Variablekosten_Header_Row,row_id=Investment_Header_Row)</f>
        <v>0</v>
      </c>
      <c r="F51" s="82">
        <f t="shared" si="17"/>
        <v>0</v>
      </c>
      <c r="G51" s="82">
        <f t="array" ref="G51">1*OR(row_id=income_total_row,row_id=fixed_costs_total_row,row_id=variable_costs_total_row,row_id=investment_total_row)</f>
        <v>0</v>
      </c>
      <c r="H51" s="82">
        <f t="shared" si="18"/>
        <v>1</v>
      </c>
      <c r="I51" s="83" t="str">
        <f t="array" ref="I51">IFERROR(INDEX('Budget Planning'!$C:$C,header_row_id),"")</f>
        <v/>
      </c>
      <c r="J51" s="82" t="str">
        <f t="array" ref="J51">IFERROR(INDEX('Budget Planning'!$C:$C,row_id),"")</f>
        <v/>
      </c>
      <c r="K51" s="85" t="str" cm="1">
        <f t="array" ref="K5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1" s="86" t="str">
        <f t="array" ref="L51">IF(OR(is_header,is_empty),"",
INDEX('Budget Planning'!$E:$FA,row_id,
MATCH(IF(selected_period="Jahresübersicht",selected_year,DATE(selected_year,selected_period,1)),'Budget Planning'!$E$9:$FA$9,0)))</f>
        <v/>
      </c>
      <c r="M51" s="87" t="str">
        <f t="array" ref="M51">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1" s="88" t="str">
        <f t="array" ref="N51">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1" s="87" t="str">
        <f t="shared" si="19"/>
        <v/>
      </c>
      <c r="P51" s="6" t="str">
        <f t="shared" ca="1" si="20"/>
        <v/>
      </c>
      <c r="Q51" s="6" t="str">
        <f t="shared" si="21"/>
        <v/>
      </c>
      <c r="R51" s="88" t="str">
        <f t="shared" ca="1" si="22"/>
        <v/>
      </c>
      <c r="S51" s="87" t="str">
        <f t="shared" si="23"/>
        <v/>
      </c>
      <c r="T51" s="6" t="str">
        <f t="shared" si="24"/>
        <v/>
      </c>
      <c r="U51" s="6" t="str">
        <f t="shared" ca="1" si="25"/>
        <v/>
      </c>
      <c r="V51" s="6" t="str">
        <f t="shared" si="26"/>
        <v/>
      </c>
      <c r="W51" s="6" t="str">
        <f t="shared" ca="1" si="27"/>
        <v/>
      </c>
      <c r="X51" s="89">
        <f t="shared" si="28"/>
        <v>-1</v>
      </c>
      <c r="Y51" s="82" t="str">
        <f t="shared" si="29"/>
        <v/>
      </c>
      <c r="Z51" s="91" t="str">
        <f t="shared" si="30"/>
        <v/>
      </c>
      <c r="AA51" s="91" t="str">
        <f t="shared" si="31"/>
        <v/>
      </c>
      <c r="AB51" s="90" t="str">
        <f t="array" ref="AB51">IF(is_empty,"",IF(is_header,"% Compl.", IFERROR(out_tracked/out_budget,"-")))</f>
        <v/>
      </c>
      <c r="AC51" s="91" t="str">
        <f t="array" ref="AC51">IF(is_empty,"", IF(is_header, "Remaining", IF(out_budget - out_tracked &gt; 0, out_budget - out_tracked,0)))</f>
        <v/>
      </c>
      <c r="AD51" s="91" t="str">
        <f t="shared" si="32"/>
        <v/>
      </c>
    </row>
    <row r="52" spans="3:30" x14ac:dyDescent="0.3">
      <c r="C52" s="83">
        <f t="array" ref="C52">IF(C51=-1,-1,
  IF(C51&lt;income_max_row,C51+1,
   IF(C51=income_max_row,income_total_row,
    IF(C51=income_total_row,"/1",
     IF(C51="/1",Fixkosten_Header_Row,
      IF(C51&lt;fixed_costs_max_row,C51+1,
       IF(C51=fixed_costs_max_row,fixed_costs_total_row,
        IF(C51=fixed_costs_total_row,"/2",
         IF(C51="/2",Variablekosten_Header_Row,
          IF(C51&lt;variable_costs_max_row,C51+1,
           IF(C51=variable_costs_max_row,variable_costs_total_row,
            IF(C51=variable_costs_total_row,"/3",
             IF(C51="/3",Investment_Header_Row,
              IF(C51&lt;investment_max_row,C51+1,
               IF(C51=investment_max_row,investment_total_row,-1)))))))))))))))</f>
        <v>-1</v>
      </c>
      <c r="D52" s="84">
        <f t="shared" si="33"/>
        <v>-1</v>
      </c>
      <c r="E52" s="83">
        <f t="array" ref="E52">1*OR(row_id=Einkommen_Header_Row,row_id=Fixkosten_Header_Row,row_id=Variablekosten_Header_Row,row_id=Investment_Header_Row)</f>
        <v>0</v>
      </c>
      <c r="F52" s="82">
        <f t="shared" si="17"/>
        <v>0</v>
      </c>
      <c r="G52" s="82">
        <f t="array" ref="G52">1*OR(row_id=income_total_row,row_id=fixed_costs_total_row,row_id=variable_costs_total_row,row_id=investment_total_row)</f>
        <v>0</v>
      </c>
      <c r="H52" s="82">
        <f t="shared" si="18"/>
        <v>1</v>
      </c>
      <c r="I52" s="83" t="str">
        <f t="array" ref="I52">IFERROR(INDEX('Budget Planning'!$C:$C,header_row_id),"")</f>
        <v/>
      </c>
      <c r="J52" s="82" t="str">
        <f t="array" ref="J52">IFERROR(INDEX('Budget Planning'!$C:$C,row_id),"")</f>
        <v/>
      </c>
      <c r="K52" s="85" t="str" cm="1">
        <f t="array" ref="K52">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2" s="86" t="str">
        <f t="array" ref="L52">IF(OR(is_header,is_empty),"",
INDEX('Budget Planning'!$E:$FA,row_id,
MATCH(IF(selected_period="Jahresübersicht",selected_year,DATE(selected_year,selected_period,1)),'Budget Planning'!$E$9:$FA$9,0)))</f>
        <v/>
      </c>
      <c r="M52" s="87" t="str">
        <f t="array" ref="M52">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2" s="88" t="str">
        <f t="array" ref="N52">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2" s="87" t="str">
        <f t="shared" si="19"/>
        <v/>
      </c>
      <c r="P52" s="6" t="str">
        <f t="shared" ca="1" si="20"/>
        <v/>
      </c>
      <c r="Q52" s="6" t="str">
        <f t="shared" si="21"/>
        <v/>
      </c>
      <c r="R52" s="88" t="str">
        <f t="shared" ca="1" si="22"/>
        <v/>
      </c>
      <c r="S52" s="87" t="str">
        <f t="shared" si="23"/>
        <v/>
      </c>
      <c r="T52" s="6" t="str">
        <f t="shared" si="24"/>
        <v/>
      </c>
      <c r="U52" s="6" t="str">
        <f t="shared" ca="1" si="25"/>
        <v/>
      </c>
      <c r="V52" s="6" t="str">
        <f t="shared" si="26"/>
        <v/>
      </c>
      <c r="W52" s="6" t="str">
        <f t="shared" ca="1" si="27"/>
        <v/>
      </c>
      <c r="X52" s="89">
        <f t="shared" si="28"/>
        <v>-1</v>
      </c>
      <c r="Y52" s="82" t="str">
        <f t="shared" si="29"/>
        <v/>
      </c>
      <c r="Z52" s="91" t="str">
        <f t="shared" si="30"/>
        <v/>
      </c>
      <c r="AA52" s="91" t="str">
        <f t="shared" si="31"/>
        <v/>
      </c>
      <c r="AB52" s="90" t="str">
        <f t="array" ref="AB52">IF(is_empty,"",IF(is_header,"% Compl.", IFERROR(out_tracked/out_budget,"-")))</f>
        <v/>
      </c>
      <c r="AC52" s="91" t="str">
        <f t="array" ref="AC52">IF(is_empty,"", IF(is_header, "Remaining", IF(out_budget - out_tracked &gt; 0, out_budget - out_tracked,0)))</f>
        <v/>
      </c>
      <c r="AD52" s="91" t="str">
        <f t="shared" si="32"/>
        <v/>
      </c>
    </row>
    <row r="53" spans="3:30" x14ac:dyDescent="0.3">
      <c r="C53" s="83">
        <f t="array" ref="C53">IF(C52=-1,-1,
  IF(C52&lt;income_max_row,C52+1,
   IF(C52=income_max_row,income_total_row,
    IF(C52=income_total_row,"/1",
     IF(C52="/1",Fixkosten_Header_Row,
      IF(C52&lt;fixed_costs_max_row,C52+1,
       IF(C52=fixed_costs_max_row,fixed_costs_total_row,
        IF(C52=fixed_costs_total_row,"/2",
         IF(C52="/2",Variablekosten_Header_Row,
          IF(C52&lt;variable_costs_max_row,C52+1,
           IF(C52=variable_costs_max_row,variable_costs_total_row,
            IF(C52=variable_costs_total_row,"/3",
             IF(C52="/3",Investment_Header_Row,
              IF(C52&lt;investment_max_row,C52+1,
               IF(C52=investment_max_row,investment_total_row,-1)))))))))))))))</f>
        <v>-1</v>
      </c>
      <c r="D53" s="84">
        <f t="shared" si="33"/>
        <v>-1</v>
      </c>
      <c r="E53" s="83">
        <f t="array" ref="E53">1*OR(row_id=Einkommen_Header_Row,row_id=Fixkosten_Header_Row,row_id=Variablekosten_Header_Row,row_id=Investment_Header_Row)</f>
        <v>0</v>
      </c>
      <c r="F53" s="82">
        <f t="shared" si="17"/>
        <v>0</v>
      </c>
      <c r="G53" s="82">
        <f t="array" ref="G53">1*OR(row_id=income_total_row,row_id=fixed_costs_total_row,row_id=variable_costs_total_row,row_id=investment_total_row)</f>
        <v>0</v>
      </c>
      <c r="H53" s="82">
        <f t="shared" si="18"/>
        <v>1</v>
      </c>
      <c r="I53" s="83" t="str">
        <f t="array" ref="I53">IFERROR(INDEX('Budget Planning'!$C:$C,header_row_id),"")</f>
        <v/>
      </c>
      <c r="J53" s="82" t="str">
        <f t="array" ref="J53">IFERROR(INDEX('Budget Planning'!$C:$C,row_id),"")</f>
        <v/>
      </c>
      <c r="K53" s="85" t="str" cm="1">
        <f t="array" ref="K53">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3" s="86" t="str">
        <f t="array" ref="L53">IF(OR(is_header,is_empty),"",
INDEX('Budget Planning'!$E:$FA,row_id,
MATCH(IF(selected_period="Jahresübersicht",selected_year,DATE(selected_year,selected_period,1)),'Budget Planning'!$E$9:$FA$9,0)))</f>
        <v/>
      </c>
      <c r="M53" s="87" t="str">
        <f t="array" ref="M53">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3" s="88" t="str">
        <f t="array" ref="N53">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3" s="87" t="str">
        <f t="shared" si="19"/>
        <v/>
      </c>
      <c r="P53" s="6" t="str">
        <f t="shared" ca="1" si="20"/>
        <v/>
      </c>
      <c r="Q53" s="6" t="str">
        <f t="shared" si="21"/>
        <v/>
      </c>
      <c r="R53" s="88" t="str">
        <f t="shared" ca="1" si="22"/>
        <v/>
      </c>
      <c r="S53" s="87" t="str">
        <f t="shared" si="23"/>
        <v/>
      </c>
      <c r="T53" s="6" t="str">
        <f t="shared" si="24"/>
        <v/>
      </c>
      <c r="U53" s="6" t="str">
        <f t="shared" ca="1" si="25"/>
        <v/>
      </c>
      <c r="V53" s="6" t="str">
        <f t="shared" si="26"/>
        <v/>
      </c>
      <c r="W53" s="6" t="str">
        <f t="shared" ca="1" si="27"/>
        <v/>
      </c>
      <c r="X53" s="89">
        <f t="shared" si="28"/>
        <v>-1</v>
      </c>
      <c r="Y53" s="82" t="str">
        <f t="shared" si="29"/>
        <v/>
      </c>
      <c r="Z53" s="91" t="str">
        <f t="shared" si="30"/>
        <v/>
      </c>
      <c r="AA53" s="91" t="str">
        <f t="shared" si="31"/>
        <v/>
      </c>
      <c r="AB53" s="90" t="str">
        <f t="array" ref="AB53">IF(is_empty,"",IF(is_header,"% Compl.", IFERROR(out_tracked/out_budget,"-")))</f>
        <v/>
      </c>
      <c r="AC53" s="91" t="str">
        <f t="array" ref="AC53">IF(is_empty,"", IF(is_header, "Remaining", IF(out_budget - out_tracked &gt; 0, out_budget - out_tracked,0)))</f>
        <v/>
      </c>
      <c r="AD53" s="91" t="str">
        <f t="shared" si="32"/>
        <v/>
      </c>
    </row>
    <row r="54" spans="3:30" x14ac:dyDescent="0.3">
      <c r="C54" s="83">
        <f t="array" ref="C54">IF(C53=-1,-1,
  IF(C53&lt;income_max_row,C53+1,
   IF(C53=income_max_row,income_total_row,
    IF(C53=income_total_row,"/1",
     IF(C53="/1",Fixkosten_Header_Row,
      IF(C53&lt;fixed_costs_max_row,C53+1,
       IF(C53=fixed_costs_max_row,fixed_costs_total_row,
        IF(C53=fixed_costs_total_row,"/2",
         IF(C53="/2",Variablekosten_Header_Row,
          IF(C53&lt;variable_costs_max_row,C53+1,
           IF(C53=variable_costs_max_row,variable_costs_total_row,
            IF(C53=variable_costs_total_row,"/3",
             IF(C53="/3",Investment_Header_Row,
              IF(C53&lt;investment_max_row,C53+1,
               IF(C53=investment_max_row,investment_total_row,-1)))))))))))))))</f>
        <v>-1</v>
      </c>
      <c r="D54" s="84">
        <f t="shared" si="33"/>
        <v>-1</v>
      </c>
      <c r="E54" s="83">
        <f t="array" ref="E54">1*OR(row_id=Einkommen_Header_Row,row_id=Fixkosten_Header_Row,row_id=Variablekosten_Header_Row,row_id=Investment_Header_Row)</f>
        <v>0</v>
      </c>
      <c r="F54" s="82">
        <f t="shared" si="17"/>
        <v>0</v>
      </c>
      <c r="G54" s="82">
        <f t="array" ref="G54">1*OR(row_id=income_total_row,row_id=fixed_costs_total_row,row_id=variable_costs_total_row,row_id=investment_total_row)</f>
        <v>0</v>
      </c>
      <c r="H54" s="82">
        <f t="shared" si="18"/>
        <v>1</v>
      </c>
      <c r="I54" s="83" t="str">
        <f t="array" ref="I54">IFERROR(INDEX('Budget Planning'!$C:$C,header_row_id),"")</f>
        <v/>
      </c>
      <c r="J54" s="82" t="str">
        <f t="array" ref="J54">IFERROR(INDEX('Budget Planning'!$C:$C,row_id),"")</f>
        <v/>
      </c>
      <c r="K54" s="85" t="str" cm="1">
        <f t="array" ref="K54">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4" s="86" t="str">
        <f t="array" ref="L54">IF(OR(is_header,is_empty),"",
INDEX('Budget Planning'!$E:$FA,row_id,
MATCH(IF(selected_period="Jahresübersicht",selected_year,DATE(selected_year,selected_period,1)),'Budget Planning'!$E$9:$FA$9,0)))</f>
        <v/>
      </c>
      <c r="M54" s="87" t="str">
        <f t="array" ref="M54">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4" s="88" t="str">
        <f t="array" ref="N54">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4" s="87" t="str">
        <f t="shared" si="19"/>
        <v/>
      </c>
      <c r="P54" s="6" t="str">
        <f t="shared" ca="1" si="20"/>
        <v/>
      </c>
      <c r="Q54" s="6" t="str">
        <f t="shared" si="21"/>
        <v/>
      </c>
      <c r="R54" s="88" t="str">
        <f t="shared" ca="1" si="22"/>
        <v/>
      </c>
      <c r="S54" s="87" t="str">
        <f t="shared" si="23"/>
        <v/>
      </c>
      <c r="T54" s="6" t="str">
        <f t="shared" si="24"/>
        <v/>
      </c>
      <c r="U54" s="6" t="str">
        <f t="shared" ca="1" si="25"/>
        <v/>
      </c>
      <c r="V54" s="6" t="str">
        <f t="shared" si="26"/>
        <v/>
      </c>
      <c r="W54" s="6" t="str">
        <f t="shared" ca="1" si="27"/>
        <v/>
      </c>
      <c r="X54" s="89">
        <f t="shared" si="28"/>
        <v>-1</v>
      </c>
      <c r="Y54" s="82" t="str">
        <f t="shared" si="29"/>
        <v/>
      </c>
      <c r="Z54" s="91" t="str">
        <f t="shared" si="30"/>
        <v/>
      </c>
      <c r="AA54" s="91" t="str">
        <f t="shared" si="31"/>
        <v/>
      </c>
      <c r="AB54" s="90" t="str">
        <f t="array" ref="AB54">IF(is_empty,"",IF(is_header,"% Compl.", IFERROR(out_tracked/out_budget,"-")))</f>
        <v/>
      </c>
      <c r="AC54" s="91" t="str">
        <f t="array" ref="AC54">IF(is_empty,"", IF(is_header, "Remaining", IF(out_budget - out_tracked &gt; 0, out_budget - out_tracked,0)))</f>
        <v/>
      </c>
      <c r="AD54" s="91" t="str">
        <f t="shared" si="32"/>
        <v/>
      </c>
    </row>
    <row r="55" spans="3:30" x14ac:dyDescent="0.3">
      <c r="C55" s="83">
        <f t="array" ref="C55">IF(C54=-1,-1,
  IF(C54&lt;income_max_row,C54+1,
   IF(C54=income_max_row,income_total_row,
    IF(C54=income_total_row,"/1",
     IF(C54="/1",Fixkosten_Header_Row,
      IF(C54&lt;fixed_costs_max_row,C54+1,
       IF(C54=fixed_costs_max_row,fixed_costs_total_row,
        IF(C54=fixed_costs_total_row,"/2",
         IF(C54="/2",Variablekosten_Header_Row,
          IF(C54&lt;variable_costs_max_row,C54+1,
           IF(C54=variable_costs_max_row,variable_costs_total_row,
            IF(C54=variable_costs_total_row,"/3",
             IF(C54="/3",Investment_Header_Row,
              IF(C54&lt;investment_max_row,C54+1,
               IF(C54=investment_max_row,investment_total_row,-1)))))))))))))))</f>
        <v>-1</v>
      </c>
      <c r="D55" s="84">
        <f t="shared" si="33"/>
        <v>-1</v>
      </c>
      <c r="E55" s="83">
        <f t="array" ref="E55">1*OR(row_id=Einkommen_Header_Row,row_id=Fixkosten_Header_Row,row_id=Variablekosten_Header_Row,row_id=Investment_Header_Row)</f>
        <v>0</v>
      </c>
      <c r="F55" s="82">
        <f t="shared" si="17"/>
        <v>0</v>
      </c>
      <c r="G55" s="82">
        <f t="array" ref="G55">1*OR(row_id=income_total_row,row_id=fixed_costs_total_row,row_id=variable_costs_total_row,row_id=investment_total_row)</f>
        <v>0</v>
      </c>
      <c r="H55" s="82">
        <f t="shared" si="18"/>
        <v>1</v>
      </c>
      <c r="I55" s="83" t="str">
        <f t="array" ref="I55">IFERROR(INDEX('Budget Planning'!$C:$C,header_row_id),"")</f>
        <v/>
      </c>
      <c r="J55" s="82" t="str">
        <f t="array" ref="J55">IFERROR(INDEX('Budget Planning'!$C:$C,row_id),"")</f>
        <v/>
      </c>
      <c r="K55" s="85" t="str" cm="1">
        <f t="array" ref="K55">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5" s="86" t="str">
        <f t="array" ref="L55">IF(OR(is_header,is_empty),"",
INDEX('Budget Planning'!$E:$FA,row_id,
MATCH(IF(selected_period="Jahresübersicht",selected_year,DATE(selected_year,selected_period,1)),'Budget Planning'!$E$9:$FA$9,0)))</f>
        <v/>
      </c>
      <c r="M55" s="87" t="str">
        <f t="array" ref="M55">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5" s="88" t="str">
        <f t="array" ref="N55">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5" s="87" t="str">
        <f t="shared" si="19"/>
        <v/>
      </c>
      <c r="P55" s="6" t="str">
        <f t="shared" ca="1" si="20"/>
        <v/>
      </c>
      <c r="Q55" s="6" t="str">
        <f t="shared" si="21"/>
        <v/>
      </c>
      <c r="R55" s="88" t="str">
        <f t="shared" ca="1" si="22"/>
        <v/>
      </c>
      <c r="S55" s="87" t="str">
        <f t="shared" si="23"/>
        <v/>
      </c>
      <c r="T55" s="6" t="str">
        <f t="shared" si="24"/>
        <v/>
      </c>
      <c r="U55" s="6" t="str">
        <f t="shared" ca="1" si="25"/>
        <v/>
      </c>
      <c r="V55" s="6" t="str">
        <f t="shared" si="26"/>
        <v/>
      </c>
      <c r="W55" s="6" t="str">
        <f t="shared" ca="1" si="27"/>
        <v/>
      </c>
      <c r="X55" s="89">
        <f t="shared" si="28"/>
        <v>-1</v>
      </c>
      <c r="Y55" s="82" t="str">
        <f t="shared" si="29"/>
        <v/>
      </c>
      <c r="Z55" s="91" t="str">
        <f t="shared" si="30"/>
        <v/>
      </c>
      <c r="AA55" s="91" t="str">
        <f t="shared" si="31"/>
        <v/>
      </c>
      <c r="AB55" s="90" t="str">
        <f t="array" ref="AB55">IF(is_empty,"",IF(is_header,"% Compl.", IFERROR(out_tracked/out_budget,"-")))</f>
        <v/>
      </c>
      <c r="AC55" s="91" t="str">
        <f t="array" ref="AC55">IF(is_empty,"", IF(is_header, "Remaining", IF(out_budget - out_tracked &gt; 0, out_budget - out_tracked,0)))</f>
        <v/>
      </c>
      <c r="AD55" s="91" t="str">
        <f t="shared" si="32"/>
        <v/>
      </c>
    </row>
    <row r="56" spans="3:30" x14ac:dyDescent="0.3">
      <c r="C56" s="83">
        <f t="array" ref="C56">IF(C55=-1,-1,
  IF(C55&lt;income_max_row,C55+1,
   IF(C55=income_max_row,income_total_row,
    IF(C55=income_total_row,"/1",
     IF(C55="/1",Fixkosten_Header_Row,
      IF(C55&lt;fixed_costs_max_row,C55+1,
       IF(C55=fixed_costs_max_row,fixed_costs_total_row,
        IF(C55=fixed_costs_total_row,"/2",
         IF(C55="/2",Variablekosten_Header_Row,
          IF(C55&lt;variable_costs_max_row,C55+1,
           IF(C55=variable_costs_max_row,variable_costs_total_row,
            IF(C55=variable_costs_total_row,"/3",
             IF(C55="/3",Investment_Header_Row,
              IF(C55&lt;investment_max_row,C55+1,
               IF(C55=investment_max_row,investment_total_row,-1)))))))))))))))</f>
        <v>-1</v>
      </c>
      <c r="D56" s="84">
        <f t="shared" si="33"/>
        <v>-1</v>
      </c>
      <c r="E56" s="83">
        <f t="array" ref="E56">1*OR(row_id=Einkommen_Header_Row,row_id=Fixkosten_Header_Row,row_id=Variablekosten_Header_Row,row_id=Investment_Header_Row)</f>
        <v>0</v>
      </c>
      <c r="F56" s="82">
        <f t="shared" si="17"/>
        <v>0</v>
      </c>
      <c r="G56" s="82">
        <f t="array" ref="G56">1*OR(row_id=income_total_row,row_id=fixed_costs_total_row,row_id=variable_costs_total_row,row_id=investment_total_row)</f>
        <v>0</v>
      </c>
      <c r="H56" s="82">
        <f t="shared" si="18"/>
        <v>1</v>
      </c>
      <c r="I56" s="83" t="str">
        <f t="array" ref="I56">IFERROR(INDEX('Budget Planning'!$C:$C,header_row_id),"")</f>
        <v/>
      </c>
      <c r="J56" s="82" t="str">
        <f t="array" ref="J56">IFERROR(INDEX('Budget Planning'!$C:$C,row_id),"")</f>
        <v/>
      </c>
      <c r="K56" s="85" t="str" cm="1">
        <f t="array" ref="K56">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6" s="86" t="str">
        <f t="array" ref="L56">IF(OR(is_header,is_empty),"",
INDEX('Budget Planning'!$E:$FA,row_id,
MATCH(IF(selected_period="Jahresübersicht",selected_year,DATE(selected_year,selected_period,1)),'Budget Planning'!$E$9:$FA$9,0)))</f>
        <v/>
      </c>
      <c r="M56" s="87" t="str">
        <f t="array" ref="M56">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6" s="88" t="str">
        <f t="array" ref="N56">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6" s="87" t="str">
        <f t="shared" si="19"/>
        <v/>
      </c>
      <c r="P56" s="6" t="str">
        <f t="shared" ca="1" si="20"/>
        <v/>
      </c>
      <c r="Q56" s="6" t="str">
        <f t="shared" si="21"/>
        <v/>
      </c>
      <c r="R56" s="88" t="str">
        <f t="shared" ca="1" si="22"/>
        <v/>
      </c>
      <c r="S56" s="87" t="str">
        <f t="shared" si="23"/>
        <v/>
      </c>
      <c r="T56" s="6" t="str">
        <f t="shared" si="24"/>
        <v/>
      </c>
      <c r="U56" s="6" t="str">
        <f t="shared" ca="1" si="25"/>
        <v/>
      </c>
      <c r="V56" s="6" t="str">
        <f t="shared" si="26"/>
        <v/>
      </c>
      <c r="W56" s="6" t="str">
        <f t="shared" ca="1" si="27"/>
        <v/>
      </c>
      <c r="X56" s="89">
        <f t="shared" si="28"/>
        <v>-1</v>
      </c>
      <c r="Y56" s="82" t="str">
        <f t="shared" si="29"/>
        <v/>
      </c>
      <c r="Z56" s="91" t="str">
        <f t="shared" si="30"/>
        <v/>
      </c>
      <c r="AA56" s="91" t="str">
        <f t="shared" si="31"/>
        <v/>
      </c>
      <c r="AB56" s="90" t="str">
        <f t="array" ref="AB56">IF(is_empty,"",IF(is_header,"% Compl.", IFERROR(out_tracked/out_budget,"-")))</f>
        <v/>
      </c>
      <c r="AC56" s="91" t="str">
        <f t="array" ref="AC56">IF(is_empty,"", IF(is_header, "Remaining", IF(out_budget - out_tracked &gt; 0, out_budget - out_tracked,0)))</f>
        <v/>
      </c>
      <c r="AD56" s="91" t="str">
        <f t="shared" si="32"/>
        <v/>
      </c>
    </row>
    <row r="57" spans="3:30" x14ac:dyDescent="0.3">
      <c r="C57" s="83">
        <f t="array" ref="C57">IF(C56=-1,-1,
  IF(C56&lt;income_max_row,C56+1,
   IF(C56=income_max_row,income_total_row,
    IF(C56=income_total_row,"/1",
     IF(C56="/1",Fixkosten_Header_Row,
      IF(C56&lt;fixed_costs_max_row,C56+1,
       IF(C56=fixed_costs_max_row,fixed_costs_total_row,
        IF(C56=fixed_costs_total_row,"/2",
         IF(C56="/2",Variablekosten_Header_Row,
          IF(C56&lt;variable_costs_max_row,C56+1,
           IF(C56=variable_costs_max_row,variable_costs_total_row,
            IF(C56=variable_costs_total_row,"/3",
             IF(C56="/3",Investment_Header_Row,
              IF(C56&lt;investment_max_row,C56+1,
               IF(C56=investment_max_row,investment_total_row,-1)))))))))))))))</f>
        <v>-1</v>
      </c>
      <c r="D57" s="84">
        <f t="shared" si="33"/>
        <v>-1</v>
      </c>
      <c r="E57" s="83">
        <f t="array" ref="E57">1*OR(row_id=Einkommen_Header_Row,row_id=Fixkosten_Header_Row,row_id=Variablekosten_Header_Row,row_id=Investment_Header_Row)</f>
        <v>0</v>
      </c>
      <c r="F57" s="82">
        <f t="shared" si="17"/>
        <v>0</v>
      </c>
      <c r="G57" s="82">
        <f t="array" ref="G57">1*OR(row_id=income_total_row,row_id=fixed_costs_total_row,row_id=variable_costs_total_row,row_id=investment_total_row)</f>
        <v>0</v>
      </c>
      <c r="H57" s="82">
        <f t="shared" si="18"/>
        <v>1</v>
      </c>
      <c r="I57" s="83" t="str">
        <f t="array" ref="I57">IFERROR(INDEX('Budget Planning'!$C:$C,header_row_id),"")</f>
        <v/>
      </c>
      <c r="J57" s="82" t="str">
        <f t="array" ref="J57">IFERROR(INDEX('Budget Planning'!$C:$C,row_id),"")</f>
        <v/>
      </c>
      <c r="K57" s="85" t="str" cm="1">
        <f t="array" ref="K57">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7" s="86" t="str">
        <f t="array" ref="L57">IF(OR(is_header,is_empty),"",
INDEX('Budget Planning'!$E:$FA,row_id,
MATCH(IF(selected_period="Jahresübersicht",selected_year,DATE(selected_year,selected_period,1)),'Budget Planning'!$E$9:$FA$9,0)))</f>
        <v/>
      </c>
      <c r="M57" s="87" t="str">
        <f t="array" ref="M57">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7" s="88" t="str">
        <f t="array" ref="N57">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7" s="87" t="str">
        <f t="shared" si="19"/>
        <v/>
      </c>
      <c r="P57" s="6" t="str">
        <f t="shared" ca="1" si="20"/>
        <v/>
      </c>
      <c r="Q57" s="6" t="str">
        <f t="shared" si="21"/>
        <v/>
      </c>
      <c r="R57" s="88" t="str">
        <f t="shared" ca="1" si="22"/>
        <v/>
      </c>
      <c r="S57" s="87" t="str">
        <f t="shared" si="23"/>
        <v/>
      </c>
      <c r="T57" s="6" t="str">
        <f t="shared" si="24"/>
        <v/>
      </c>
      <c r="U57" s="6" t="str">
        <f t="shared" ca="1" si="25"/>
        <v/>
      </c>
      <c r="V57" s="6" t="str">
        <f t="shared" si="26"/>
        <v/>
      </c>
      <c r="W57" s="6" t="str">
        <f t="shared" ca="1" si="27"/>
        <v/>
      </c>
      <c r="X57" s="89">
        <f t="shared" si="28"/>
        <v>-1</v>
      </c>
      <c r="Y57" s="82" t="str">
        <f t="shared" si="29"/>
        <v/>
      </c>
      <c r="Z57" s="91" t="str">
        <f t="shared" si="30"/>
        <v/>
      </c>
      <c r="AA57" s="91" t="str">
        <f t="shared" si="31"/>
        <v/>
      </c>
      <c r="AB57" s="90" t="str">
        <f t="array" ref="AB57">IF(is_empty,"",IF(is_header,"% Compl.", IFERROR(out_tracked/out_budget,"-")))</f>
        <v/>
      </c>
      <c r="AC57" s="91" t="str">
        <f t="array" ref="AC57">IF(is_empty,"", IF(is_header, "Remaining", IF(out_budget - out_tracked &gt; 0, out_budget - out_tracked,0)))</f>
        <v/>
      </c>
      <c r="AD57" s="91" t="str">
        <f t="shared" si="32"/>
        <v/>
      </c>
    </row>
    <row r="58" spans="3:30" x14ac:dyDescent="0.3">
      <c r="C58" s="83">
        <f t="array" ref="C58">IF(C57=-1,-1,
  IF(C57&lt;income_max_row,C57+1,
   IF(C57=income_max_row,income_total_row,
    IF(C57=income_total_row,"/1",
     IF(C57="/1",Fixkosten_Header_Row,
      IF(C57&lt;fixed_costs_max_row,C57+1,
       IF(C57=fixed_costs_max_row,fixed_costs_total_row,
        IF(C57=fixed_costs_total_row,"/2",
         IF(C57="/2",Variablekosten_Header_Row,
          IF(C57&lt;variable_costs_max_row,C57+1,
           IF(C57=variable_costs_max_row,variable_costs_total_row,
            IF(C57=variable_costs_total_row,"/3",
             IF(C57="/3",Investment_Header_Row,
              IF(C57&lt;investment_max_row,C57+1,
               IF(C57=investment_max_row,investment_total_row,-1)))))))))))))))</f>
        <v>-1</v>
      </c>
      <c r="D58" s="84">
        <f t="shared" si="33"/>
        <v>-1</v>
      </c>
      <c r="E58" s="83">
        <f t="array" ref="E58">1*OR(row_id=Einkommen_Header_Row,row_id=Fixkosten_Header_Row,row_id=Variablekosten_Header_Row,row_id=Investment_Header_Row)</f>
        <v>0</v>
      </c>
      <c r="F58" s="82">
        <f t="shared" si="17"/>
        <v>0</v>
      </c>
      <c r="G58" s="82">
        <f t="array" ref="G58">1*OR(row_id=income_total_row,row_id=fixed_costs_total_row,row_id=variable_costs_total_row,row_id=investment_total_row)</f>
        <v>0</v>
      </c>
      <c r="H58" s="82">
        <f t="shared" si="18"/>
        <v>1</v>
      </c>
      <c r="I58" s="83" t="str">
        <f t="array" ref="I58">IFERROR(INDEX('Budget Planning'!$C:$C,header_row_id),"")</f>
        <v/>
      </c>
      <c r="J58" s="82" t="str">
        <f t="array" ref="J58">IFERROR(INDEX('Budget Planning'!$C:$C,row_id),"")</f>
        <v/>
      </c>
      <c r="K58" s="85" t="str" cm="1">
        <f t="array" ref="K58">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8" s="86" t="str">
        <f t="array" ref="L58">IF(OR(is_header,is_empty),"",
INDEX('Budget Planning'!$E:$FA,row_id,
MATCH(IF(selected_period="Jahresübersicht",selected_year,DATE(selected_year,selected_period,1)),'Budget Planning'!$E$9:$FA$9,0)))</f>
        <v/>
      </c>
      <c r="M58" s="87" t="str">
        <f t="array" ref="M58">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8" s="88" t="str">
        <f t="array" ref="N58">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8" s="87" t="str">
        <f t="shared" si="19"/>
        <v/>
      </c>
      <c r="P58" s="6" t="str">
        <f t="shared" ca="1" si="20"/>
        <v/>
      </c>
      <c r="Q58" s="6" t="str">
        <f t="shared" si="21"/>
        <v/>
      </c>
      <c r="R58" s="88" t="str">
        <f t="shared" ca="1" si="22"/>
        <v/>
      </c>
      <c r="S58" s="87" t="str">
        <f t="shared" si="23"/>
        <v/>
      </c>
      <c r="T58" s="6" t="str">
        <f t="shared" si="24"/>
        <v/>
      </c>
      <c r="U58" s="6" t="str">
        <f t="shared" ca="1" si="25"/>
        <v/>
      </c>
      <c r="V58" s="6" t="str">
        <f t="shared" si="26"/>
        <v/>
      </c>
      <c r="W58" s="6" t="str">
        <f t="shared" ca="1" si="27"/>
        <v/>
      </c>
      <c r="X58" s="89">
        <f t="shared" si="28"/>
        <v>-1</v>
      </c>
      <c r="Y58" s="82" t="str">
        <f t="shared" si="29"/>
        <v/>
      </c>
      <c r="Z58" s="91" t="str">
        <f t="shared" si="30"/>
        <v/>
      </c>
      <c r="AA58" s="91" t="str">
        <f t="shared" si="31"/>
        <v/>
      </c>
      <c r="AB58" s="90" t="str">
        <f t="array" ref="AB58">IF(is_empty,"",IF(is_header,"% Compl.", IFERROR(out_tracked/out_budget,"-")))</f>
        <v/>
      </c>
      <c r="AC58" s="91" t="str">
        <f t="array" ref="AC58">IF(is_empty,"", IF(is_header, "Remaining", IF(out_budget - out_tracked &gt; 0, out_budget - out_tracked,0)))</f>
        <v/>
      </c>
      <c r="AD58" s="91" t="str">
        <f t="shared" si="32"/>
        <v/>
      </c>
    </row>
    <row r="59" spans="3:30" x14ac:dyDescent="0.3">
      <c r="C59" s="83">
        <f t="array" ref="C59">IF(C58=-1,-1,
  IF(C58&lt;income_max_row,C58+1,
   IF(C58=income_max_row,income_total_row,
    IF(C58=income_total_row,"/1",
     IF(C58="/1",Fixkosten_Header_Row,
      IF(C58&lt;fixed_costs_max_row,C58+1,
       IF(C58=fixed_costs_max_row,fixed_costs_total_row,
        IF(C58=fixed_costs_total_row,"/2",
         IF(C58="/2",Variablekosten_Header_Row,
          IF(C58&lt;variable_costs_max_row,C58+1,
           IF(C58=variable_costs_max_row,variable_costs_total_row,
            IF(C58=variable_costs_total_row,"/3",
             IF(C58="/3",Investment_Header_Row,
              IF(C58&lt;investment_max_row,C58+1,
               IF(C58=investment_max_row,investment_total_row,-1)))))))))))))))</f>
        <v>-1</v>
      </c>
      <c r="D59" s="84">
        <f t="shared" si="33"/>
        <v>-1</v>
      </c>
      <c r="E59" s="83">
        <f t="array" ref="E59">1*OR(row_id=Einkommen_Header_Row,row_id=Fixkosten_Header_Row,row_id=Variablekosten_Header_Row,row_id=Investment_Header_Row)</f>
        <v>0</v>
      </c>
      <c r="F59" s="82">
        <f t="shared" si="17"/>
        <v>0</v>
      </c>
      <c r="G59" s="82">
        <f t="array" ref="G59">1*OR(row_id=income_total_row,row_id=fixed_costs_total_row,row_id=variable_costs_total_row,row_id=investment_total_row)</f>
        <v>0</v>
      </c>
      <c r="H59" s="82">
        <f t="shared" si="18"/>
        <v>1</v>
      </c>
      <c r="I59" s="83" t="str">
        <f t="array" ref="I59">IFERROR(INDEX('Budget Planning'!$C:$C,header_row_id),"")</f>
        <v/>
      </c>
      <c r="J59" s="82" t="str">
        <f t="array" ref="J59">IFERROR(INDEX('Budget Planning'!$C:$C,row_id),"")</f>
        <v/>
      </c>
      <c r="K59" s="85" t="str" cm="1">
        <f t="array" ref="K59">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59" s="86" t="str">
        <f t="array" ref="L59">IF(OR(is_header,is_empty),"",
INDEX('Budget Planning'!$E:$FA,row_id,
MATCH(IF(selected_period="Jahresübersicht",selected_year,DATE(selected_year,selected_period,1)),'Budget Planning'!$E$9:$FA$9,0)))</f>
        <v/>
      </c>
      <c r="M59" s="87" t="str">
        <f t="array" ref="M59">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59" s="88" t="str">
        <f t="array" ref="N59">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59" s="87" t="str">
        <f t="shared" si="19"/>
        <v/>
      </c>
      <c r="P59" s="6" t="str">
        <f t="shared" ca="1" si="20"/>
        <v/>
      </c>
      <c r="Q59" s="6" t="str">
        <f t="shared" si="21"/>
        <v/>
      </c>
      <c r="R59" s="88" t="str">
        <f t="shared" ca="1" si="22"/>
        <v/>
      </c>
      <c r="S59" s="87" t="str">
        <f t="shared" si="23"/>
        <v/>
      </c>
      <c r="T59" s="6" t="str">
        <f t="shared" si="24"/>
        <v/>
      </c>
      <c r="U59" s="6" t="str">
        <f t="shared" ca="1" si="25"/>
        <v/>
      </c>
      <c r="V59" s="6" t="str">
        <f t="shared" si="26"/>
        <v/>
      </c>
      <c r="W59" s="6" t="str">
        <f t="shared" ca="1" si="27"/>
        <v/>
      </c>
      <c r="X59" s="89">
        <f t="shared" si="28"/>
        <v>-1</v>
      </c>
      <c r="Y59" s="82" t="str">
        <f t="shared" si="29"/>
        <v/>
      </c>
      <c r="Z59" s="91" t="str">
        <f t="shared" si="30"/>
        <v/>
      </c>
      <c r="AA59" s="91" t="str">
        <f t="shared" si="31"/>
        <v/>
      </c>
      <c r="AB59" s="90" t="str">
        <f t="array" ref="AB59">IF(is_empty,"",IF(is_header,"% Compl.", IFERROR(out_tracked/out_budget,"-")))</f>
        <v/>
      </c>
      <c r="AC59" s="91" t="str">
        <f t="array" ref="AC59">IF(is_empty,"", IF(is_header, "Remaining", IF(out_budget - out_tracked &gt; 0, out_budget - out_tracked,0)))</f>
        <v/>
      </c>
      <c r="AD59" s="91" t="str">
        <f t="shared" si="32"/>
        <v/>
      </c>
    </row>
    <row r="60" spans="3:30" x14ac:dyDescent="0.3">
      <c r="C60" s="83">
        <f t="array" ref="C60">IF(C59=-1,-1,
  IF(C59&lt;income_max_row,C59+1,
   IF(C59=income_max_row,income_total_row,
    IF(C59=income_total_row,"/1",
     IF(C59="/1",Fixkosten_Header_Row,
      IF(C59&lt;fixed_costs_max_row,C59+1,
       IF(C59=fixed_costs_max_row,fixed_costs_total_row,
        IF(C59=fixed_costs_total_row,"/2",
         IF(C59="/2",Variablekosten_Header_Row,
          IF(C59&lt;variable_costs_max_row,C59+1,
           IF(C59=variable_costs_max_row,variable_costs_total_row,
            IF(C59=variable_costs_total_row,"/3",
             IF(C59="/3",Investment_Header_Row,
              IF(C59&lt;investment_max_row,C59+1,
               IF(C59=investment_max_row,investment_total_row,-1)))))))))))))))</f>
        <v>-1</v>
      </c>
      <c r="D60" s="84">
        <f t="shared" si="33"/>
        <v>-1</v>
      </c>
      <c r="E60" s="83">
        <f t="array" ref="E60">1*OR(row_id=Einkommen_Header_Row,row_id=Fixkosten_Header_Row,row_id=Variablekosten_Header_Row,row_id=Investment_Header_Row)</f>
        <v>0</v>
      </c>
      <c r="F60" s="82">
        <f t="shared" si="17"/>
        <v>0</v>
      </c>
      <c r="G60" s="82">
        <f t="array" ref="G60">1*OR(row_id=income_total_row,row_id=fixed_costs_total_row,row_id=variable_costs_total_row,row_id=investment_total_row)</f>
        <v>0</v>
      </c>
      <c r="H60" s="82">
        <f t="shared" si="18"/>
        <v>1</v>
      </c>
      <c r="I60" s="83" t="str">
        <f t="array" ref="I60">IFERROR(INDEX('Budget Planning'!$C:$C,header_row_id),"")</f>
        <v/>
      </c>
      <c r="J60" s="82" t="str">
        <f t="array" ref="J60">IFERROR(INDEX('Budget Planning'!$C:$C,row_id),"")</f>
        <v/>
      </c>
      <c r="K60" s="85" t="str" cm="1">
        <f t="array" ref="K60">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60" s="86" t="str">
        <f t="array" ref="L60">IF(OR(is_header,is_empty),"",
INDEX('Budget Planning'!$E:$FA,row_id,
MATCH(IF(selected_period="Jahresübersicht",selected_year,DATE(selected_year,selected_period,1)),'Budget Planning'!$E$9:$FA$9,0)))</f>
        <v/>
      </c>
      <c r="M60" s="87" t="str">
        <f t="array" ref="M60">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60" s="88" t="str">
        <f t="array" ref="N60">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60" s="87" t="str">
        <f t="shared" si="19"/>
        <v/>
      </c>
      <c r="P60" s="6" t="str">
        <f t="shared" ca="1" si="20"/>
        <v/>
      </c>
      <c r="Q60" s="6" t="str">
        <f t="shared" si="21"/>
        <v/>
      </c>
      <c r="R60" s="88" t="str">
        <f t="shared" ca="1" si="22"/>
        <v/>
      </c>
      <c r="S60" s="87" t="str">
        <f t="shared" si="23"/>
        <v/>
      </c>
      <c r="T60" s="6" t="str">
        <f t="shared" si="24"/>
        <v/>
      </c>
      <c r="U60" s="6" t="str">
        <f t="shared" ca="1" si="25"/>
        <v/>
      </c>
      <c r="V60" s="6" t="str">
        <f t="shared" si="26"/>
        <v/>
      </c>
      <c r="W60" s="6" t="str">
        <f t="shared" ca="1" si="27"/>
        <v/>
      </c>
      <c r="X60" s="89">
        <f t="shared" si="28"/>
        <v>-1</v>
      </c>
      <c r="Y60" s="82" t="str">
        <f t="shared" si="29"/>
        <v/>
      </c>
      <c r="Z60" s="91" t="str">
        <f t="shared" si="30"/>
        <v/>
      </c>
      <c r="AA60" s="91" t="str">
        <f t="shared" si="31"/>
        <v/>
      </c>
      <c r="AB60" s="90" t="str">
        <f t="array" ref="AB60">IF(is_empty,"",IF(is_header,"% Compl.", IFERROR(out_tracked/out_budget,"-")))</f>
        <v/>
      </c>
      <c r="AC60" s="91" t="str">
        <f t="array" ref="AC60">IF(is_empty,"", IF(is_header, "Remaining", IF(out_budget - out_tracked &gt; 0, out_budget - out_tracked,0)))</f>
        <v/>
      </c>
      <c r="AD60" s="91" t="str">
        <f t="shared" si="32"/>
        <v/>
      </c>
    </row>
    <row r="61" spans="3:30" x14ac:dyDescent="0.3">
      <c r="C61" s="83">
        <f t="array" ref="C61">IF(C60=-1,-1,
  IF(C60&lt;income_max_row,C60+1,
   IF(C60=income_max_row,income_total_row,
    IF(C60=income_total_row,"/1",
     IF(C60="/1",Fixkosten_Header_Row,
      IF(C60&lt;fixed_costs_max_row,C60+1,
       IF(C60=fixed_costs_max_row,fixed_costs_total_row,
        IF(C60=fixed_costs_total_row,"/2",
         IF(C60="/2",Variablekosten_Header_Row,
          IF(C60&lt;variable_costs_max_row,C60+1,
           IF(C60=variable_costs_max_row,variable_costs_total_row,
            IF(C60=variable_costs_total_row,"/3",
             IF(C60="/3",Investment_Header_Row,
              IF(C60&lt;investment_max_row,C60+1,
               IF(C60=investment_max_row,investment_total_row,-1)))))))))))))))</f>
        <v>-1</v>
      </c>
      <c r="D61" s="84">
        <f t="shared" si="33"/>
        <v>-1</v>
      </c>
      <c r="E61" s="83">
        <f t="array" ref="E61">1*OR(row_id=Einkommen_Header_Row,row_id=Fixkosten_Header_Row,row_id=Variablekosten_Header_Row,row_id=Investment_Header_Row)</f>
        <v>0</v>
      </c>
      <c r="F61" s="82">
        <f t="shared" si="17"/>
        <v>0</v>
      </c>
      <c r="G61" s="82">
        <f t="array" ref="G61">1*OR(row_id=income_total_row,row_id=fixed_costs_total_row,row_id=variable_costs_total_row,row_id=investment_total_row)</f>
        <v>0</v>
      </c>
      <c r="H61" s="82">
        <f t="shared" si="18"/>
        <v>1</v>
      </c>
      <c r="I61" s="83" t="str">
        <f t="array" ref="I61">IFERROR(INDEX('Budget Planning'!$C:$C,header_row_id),"")</f>
        <v/>
      </c>
      <c r="J61" s="82" t="str">
        <f t="array" ref="J61">IFERROR(INDEX('Budget Planning'!$C:$C,row_id),"")</f>
        <v/>
      </c>
      <c r="K61" s="85" t="str" cm="1">
        <f t="array" ref="K61">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61" s="86" t="str">
        <f t="array" ref="L61">IF(OR(is_header,is_empty),"",
INDEX('Budget Planning'!$E:$FA,row_id,
MATCH(IF(selected_period="Jahresübersicht",selected_year,DATE(selected_year,selected_period,1)),'Budget Planning'!$E$9:$FA$9,0)))</f>
        <v/>
      </c>
      <c r="M61" s="87" t="str">
        <f t="array" ref="M61">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61" s="88" t="str">
        <f t="array" ref="N61">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61" s="87" t="str">
        <f t="shared" si="19"/>
        <v/>
      </c>
      <c r="P61" s="6" t="str">
        <f t="shared" ca="1" si="20"/>
        <v/>
      </c>
      <c r="Q61" s="6" t="str">
        <f t="shared" si="21"/>
        <v/>
      </c>
      <c r="R61" s="88" t="str">
        <f t="shared" ca="1" si="22"/>
        <v/>
      </c>
      <c r="S61" s="87" t="str">
        <f t="shared" si="23"/>
        <v/>
      </c>
      <c r="T61" s="6" t="str">
        <f t="shared" si="24"/>
        <v/>
      </c>
      <c r="U61" s="6" t="str">
        <f t="shared" ca="1" si="25"/>
        <v/>
      </c>
      <c r="V61" s="6" t="str">
        <f t="shared" si="26"/>
        <v/>
      </c>
      <c r="W61" s="6" t="str">
        <f t="shared" ca="1" si="27"/>
        <v/>
      </c>
      <c r="X61" s="89">
        <f t="shared" si="28"/>
        <v>-1</v>
      </c>
      <c r="Y61" s="82" t="str">
        <f t="shared" si="29"/>
        <v/>
      </c>
      <c r="Z61" s="91" t="str">
        <f t="shared" si="30"/>
        <v/>
      </c>
      <c r="AA61" s="91" t="str">
        <f t="shared" si="31"/>
        <v/>
      </c>
      <c r="AB61" s="90" t="str">
        <f t="array" ref="AB61">IF(is_empty,"",IF(is_header,"% Compl.", IFERROR(out_tracked/out_budget,"-")))</f>
        <v/>
      </c>
      <c r="AC61" s="91" t="str">
        <f t="array" ref="AC61">IF(is_empty,"", IF(is_header, "Remaining", IF(out_budget - out_tracked &gt; 0, out_budget - out_tracked,0)))</f>
        <v/>
      </c>
      <c r="AD61" s="91" t="str">
        <f t="shared" si="32"/>
        <v/>
      </c>
    </row>
    <row r="62" spans="3:30" x14ac:dyDescent="0.3">
      <c r="C62" s="83">
        <f t="array" ref="C62">IF(C61=-1,-1,
  IF(C61&lt;income_max_row,C61+1,
   IF(C61=income_max_row,income_total_row,
    IF(C61=income_total_row,"/1",
     IF(C61="/1",Fixkosten_Header_Row,
      IF(C61&lt;fixed_costs_max_row,C61+1,
       IF(C61=fixed_costs_max_row,fixed_costs_total_row,
        IF(C61=fixed_costs_total_row,"/2",
         IF(C61="/2",Variablekosten_Header_Row,
          IF(C61&lt;variable_costs_max_row,C61+1,
           IF(C61=variable_costs_max_row,variable_costs_total_row,
            IF(C61=variable_costs_total_row,"/3",
             IF(C61="/3",Investment_Header_Row,
              IF(C61&lt;investment_max_row,C61+1,
               IF(C61=investment_max_row,investment_total_row,-1)))))))))))))))</f>
        <v>-1</v>
      </c>
      <c r="D62" s="84">
        <f t="shared" si="33"/>
        <v>-1</v>
      </c>
      <c r="E62" s="83">
        <f t="array" ref="E62">1*OR(row_id=Einkommen_Header_Row,row_id=Fixkosten_Header_Row,row_id=Variablekosten_Header_Row,row_id=Investment_Header_Row)</f>
        <v>0</v>
      </c>
      <c r="F62" s="82">
        <f t="shared" si="17"/>
        <v>0</v>
      </c>
      <c r="G62" s="82">
        <f t="array" ref="G62">1*OR(row_id=income_total_row,row_id=fixed_costs_total_row,row_id=variable_costs_total_row,row_id=investment_total_row)</f>
        <v>0</v>
      </c>
      <c r="H62" s="82">
        <f t="shared" si="18"/>
        <v>1</v>
      </c>
      <c r="I62" s="83" t="str">
        <f t="array" ref="I62">IFERROR(INDEX('Budget Planning'!$C:$C,header_row_id),"")</f>
        <v/>
      </c>
      <c r="J62" s="82" t="str">
        <f t="array" ref="J62">IFERROR(INDEX('Budget Planning'!$C:$C,row_id),"")</f>
        <v/>
      </c>
      <c r="K62" s="85" t="str" cm="1">
        <f t="array" ref="K62">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62" s="86" t="str">
        <f t="array" ref="L62">IF(OR(is_header,is_empty),"",
INDEX('Budget Planning'!$E:$FA,row_id,
MATCH(IF(selected_period="Jahresübersicht",selected_year,DATE(selected_year,selected_period,1)),'Budget Planning'!$E$9:$FA$9,0)))</f>
        <v/>
      </c>
      <c r="M62" s="87" t="str">
        <f t="array" ref="M62">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62" s="88" t="str">
        <f t="array" ref="N62">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62" s="87" t="str">
        <f t="shared" si="19"/>
        <v/>
      </c>
      <c r="P62" s="6" t="str">
        <f t="shared" ca="1" si="20"/>
        <v/>
      </c>
      <c r="Q62" s="6" t="str">
        <f t="shared" si="21"/>
        <v/>
      </c>
      <c r="R62" s="88" t="str">
        <f t="shared" ca="1" si="22"/>
        <v/>
      </c>
      <c r="S62" s="87" t="str">
        <f t="shared" si="23"/>
        <v/>
      </c>
      <c r="T62" s="6" t="str">
        <f t="shared" si="24"/>
        <v/>
      </c>
      <c r="U62" s="6" t="str">
        <f t="shared" ca="1" si="25"/>
        <v/>
      </c>
      <c r="V62" s="6" t="str">
        <f t="shared" si="26"/>
        <v/>
      </c>
      <c r="W62" s="6" t="str">
        <f t="shared" ca="1" si="27"/>
        <v/>
      </c>
      <c r="X62" s="89">
        <f t="shared" si="28"/>
        <v>-1</v>
      </c>
      <c r="Y62" s="82" t="str">
        <f t="shared" si="29"/>
        <v/>
      </c>
      <c r="Z62" s="91" t="str">
        <f t="shared" si="30"/>
        <v/>
      </c>
      <c r="AA62" s="91" t="str">
        <f t="shared" si="31"/>
        <v/>
      </c>
      <c r="AB62" s="90" t="str">
        <f t="array" ref="AB62">IF(is_empty,"",IF(is_header,"% Compl.", IFERROR(out_tracked/out_budget,"-")))</f>
        <v/>
      </c>
      <c r="AC62" s="91" t="str">
        <f t="array" ref="AC62">IF(is_empty,"", IF(is_header, "Remaining", IF(out_budget - out_tracked &gt; 0, out_budget - out_tracked,0)))</f>
        <v/>
      </c>
      <c r="AD62" s="91" t="str">
        <f t="shared" si="32"/>
        <v/>
      </c>
    </row>
    <row r="63" spans="3:30" x14ac:dyDescent="0.3">
      <c r="C63" s="83">
        <f t="array" ref="C63">IF(C62=-1,-1,
  IF(C62&lt;income_max_row,C62+1,
   IF(C62=income_max_row,income_total_row,
    IF(C62=income_total_row,"/1",
     IF(C62="/1",Fixkosten_Header_Row,
      IF(C62&lt;fixed_costs_max_row,C62+1,
       IF(C62=fixed_costs_max_row,fixed_costs_total_row,
        IF(C62=fixed_costs_total_row,"/2",
         IF(C62="/2",Variablekosten_Header_Row,
          IF(C62&lt;variable_costs_max_row,C62+1,
           IF(C62=variable_costs_max_row,variable_costs_total_row,
            IF(C62=variable_costs_total_row,"/3",
             IF(C62="/3",Investment_Header_Row,
              IF(C62&lt;investment_max_row,C62+1,
               IF(C62=investment_max_row,investment_total_row,-1)))))))))))))))</f>
        <v>-1</v>
      </c>
      <c r="D63" s="84">
        <f t="shared" si="33"/>
        <v>-1</v>
      </c>
      <c r="E63" s="83">
        <f t="array" ref="E63">1*OR(row_id=Einkommen_Header_Row,row_id=Fixkosten_Header_Row,row_id=Variablekosten_Header_Row,row_id=Investment_Header_Row)</f>
        <v>0</v>
      </c>
      <c r="F63" s="82">
        <f t="shared" si="17"/>
        <v>0</v>
      </c>
      <c r="G63" s="82">
        <f t="array" ref="G63">1*OR(row_id=income_total_row,row_id=fixed_costs_total_row,row_id=variable_costs_total_row,row_id=investment_total_row)</f>
        <v>0</v>
      </c>
      <c r="H63" s="82">
        <f t="shared" si="18"/>
        <v>1</v>
      </c>
      <c r="I63" s="83" t="str">
        <f t="array" ref="I63">IFERROR(INDEX('Budget Planning'!$C:$C,header_row_id),"")</f>
        <v/>
      </c>
      <c r="J63" s="82" t="str">
        <f t="array" ref="J63">IFERROR(INDEX('Budget Planning'!$C:$C,row_id),"")</f>
        <v/>
      </c>
      <c r="K63" s="85" t="str" cm="1">
        <f t="array" ref="K63">IF(OR(is_header,is_empty),"",
  IF(is_total,
   IF(selected_period="Jahresübersicht",
    SUMPRODUCT(IFERROR(Tracking[Betrag]*1,0)*(Tracking[Type]=type)*(IFERROR(YEAR(Tracking[Effektiv Datum]),0)=selected_year)),
    SUMPRODUCT(IFERROR(Tracking[Betrag]*1,0)*(Tracking[Type]=type)*(IFERROR(YEAR(Tracking[Effektiv Datum]),0)=selected_year)*(IFERROR(MONTH(Tracking[Effektiv Datum]),0)=selected_period))),
   IF(selected_period="Jahresübersicht",
    SUMPRODUCT(IFERROR(Tracking[Betrag]*1,0)*(Tracking[Type]=type)*(Tracking[Kategorie]=item)*(IFERROR(YEAR(Tracking[Effektiv Datum]),0)=selected_year)),
    SUMPRODUCT(IFERROR(Tracking[Betrag]*1,0)*(Tracking[Type]=type)*(Tracking[Kategorie]=item)*(IFERROR(YEAR(Tracking[Effektiv Datum]),0)=selected_year)*(IFERROR(MONTH(Tracking[Effektiv Datum]),0)=selected_period)))
  ))</f>
        <v/>
      </c>
      <c r="L63" s="86" t="str">
        <f t="array" ref="L63">IF(OR(is_header,is_empty),"",
INDEX('Budget Planning'!$E:$FA,row_id,
MATCH(IF(selected_period="Jahresübersicht",selected_year,DATE(selected_year,selected_period,1)),'Budget Planning'!$E$9:$FA$9,0)))</f>
        <v/>
      </c>
      <c r="M63" s="87" t="str">
        <f t="array" ref="M63">IF(is_cat,
  IF(header_row_id=Einkommen_Header_Row, MATCH(income_min_row, $C:$C, 0),
  IF(header_row_id=Fixkosten_Header_Row, MATCH(fixed_costs_min_row, $C:$C, 0),
  IF(header_row_id=Variablekosten_Header_Row, MATCH(variable_costs_min_row, $C:$C, 0),
  IF(header_row_id=Investment_Header_Row, MATCH(investment_min_row, $C:$C, 0),
  "")))),
"")</f>
        <v/>
      </c>
      <c r="N63" s="88" t="str">
        <f t="array" ref="N63">IF(is_cat,
  IF(header_row_id=Einkommen_Header_Row, MATCH(income_max_row, $C:$C, 0),
  IF(header_row_id=Fixkosten_Header_Row, MATCH(fixed_costs_max_row, $C:$C, 0),
  IF(header_row_id=Variablekosten_Header_Row, MATCH(variable_costs_max_row, $C:$C, 0),
  IF(header_row_id=Investment_Header_Row, MATCH(investment_max_row, $C:$C, 0),
  "")))),"")</f>
        <v/>
      </c>
      <c r="O63" s="87" t="str">
        <f t="shared" si="19"/>
        <v/>
      </c>
      <c r="P63" s="6" t="str">
        <f t="shared" ca="1" si="20"/>
        <v/>
      </c>
      <c r="Q63" s="6" t="str">
        <f t="shared" si="21"/>
        <v/>
      </c>
      <c r="R63" s="88" t="str">
        <f t="shared" ca="1" si="22"/>
        <v/>
      </c>
      <c r="S63" s="87" t="str">
        <f t="shared" si="23"/>
        <v/>
      </c>
      <c r="T63" s="6" t="str">
        <f t="shared" si="24"/>
        <v/>
      </c>
      <c r="U63" s="6" t="str">
        <f t="shared" ca="1" si="25"/>
        <v/>
      </c>
      <c r="V63" s="6" t="str">
        <f t="shared" si="26"/>
        <v/>
      </c>
      <c r="W63" s="6" t="str">
        <f t="shared" ca="1" si="27"/>
        <v/>
      </c>
      <c r="X63" s="89">
        <f t="shared" si="28"/>
        <v>-1</v>
      </c>
      <c r="Y63" s="82" t="str">
        <f t="shared" si="29"/>
        <v/>
      </c>
      <c r="Z63" s="91" t="str">
        <f t="shared" si="30"/>
        <v/>
      </c>
      <c r="AA63" s="91" t="str">
        <f t="shared" si="31"/>
        <v/>
      </c>
      <c r="AB63" s="90" t="str">
        <f t="array" ref="AB63">IF(is_empty,"",IF(is_header,"% Compl.", IFERROR(out_tracked/out_budget,"-")))</f>
        <v/>
      </c>
      <c r="AC63" s="91" t="str">
        <f t="array" ref="AC63">IF(is_empty,"", IF(is_header, "Remaining", IF(out_budget - out_tracked &gt; 0, out_budget - out_tracked,0)))</f>
        <v/>
      </c>
      <c r="AD63" s="91" t="str">
        <f t="shared" si="32"/>
        <v/>
      </c>
    </row>
  </sheetData>
  <mergeCells count="11">
    <mergeCell ref="BH11:BQ11"/>
    <mergeCell ref="AQ6:AR6"/>
    <mergeCell ref="AQ5:AR5"/>
    <mergeCell ref="A1:Y3"/>
    <mergeCell ref="AN8:AP8"/>
    <mergeCell ref="AT11:BF11"/>
    <mergeCell ref="AQ9:AR9"/>
    <mergeCell ref="AN6:AP6"/>
    <mergeCell ref="AF11:AR11"/>
    <mergeCell ref="Y11:AD11"/>
    <mergeCell ref="AQ8:AR8"/>
  </mergeCells>
  <conditionalFormatting sqref="Y13:AD63">
    <cfRule type="expression" dxfId="28" priority="25" stopIfTrue="1">
      <formula>row_id=Einkommen_Header_Row</formula>
    </cfRule>
    <cfRule type="expression" dxfId="27" priority="26" stopIfTrue="1">
      <formula>row_id=Fixkosten_Header_Row</formula>
    </cfRule>
    <cfRule type="expression" dxfId="26" priority="27" stopIfTrue="1">
      <formula>row_id=Variablekosten_Header_Row</formula>
    </cfRule>
    <cfRule type="expression" dxfId="25" priority="28" stopIfTrue="1">
      <formula>row_id=Investment_Header_Row</formula>
    </cfRule>
    <cfRule type="expression" dxfId="24" priority="29" stopIfTrue="1">
      <formula>is_total</formula>
    </cfRule>
  </conditionalFormatting>
  <conditionalFormatting sqref="AB13:AB63">
    <cfRule type="dataBar" priority="30">
      <dataBar>
        <cfvo type="num" val="0"/>
        <cfvo type="num" val="1"/>
        <color theme="0" tint="-0.14999847407452621"/>
      </dataBar>
    </cfRule>
  </conditionalFormatting>
  <conditionalFormatting sqref="AH16">
    <cfRule type="expression" dxfId="23" priority="19">
      <formula>AI16&lt;&gt;""</formula>
    </cfRule>
  </conditionalFormatting>
  <conditionalFormatting sqref="AH17">
    <cfRule type="expression" dxfId="22" priority="20">
      <formula>AI17&lt;&gt;""</formula>
    </cfRule>
  </conditionalFormatting>
  <conditionalFormatting sqref="AH18">
    <cfRule type="expression" dxfId="21" priority="21">
      <formula>AI18&lt;&gt;""</formula>
    </cfRule>
  </conditionalFormatting>
  <conditionalFormatting sqref="AH19">
    <cfRule type="expression" dxfId="20" priority="22">
      <formula>AI19&lt;&gt;""</formula>
    </cfRule>
  </conditionalFormatting>
  <conditionalFormatting sqref="AH20">
    <cfRule type="expression" dxfId="19" priority="23">
      <formula>AI20&lt;&gt;""</formula>
    </cfRule>
  </conditionalFormatting>
  <conditionalFormatting sqref="AH21">
    <cfRule type="expression" dxfId="18" priority="24">
      <formula>AI21&lt;&gt;""</formula>
    </cfRule>
  </conditionalFormatting>
  <conditionalFormatting sqref="AH30">
    <cfRule type="expression" dxfId="17" priority="13">
      <formula>AI30&lt;&gt;""</formula>
    </cfRule>
  </conditionalFormatting>
  <conditionalFormatting sqref="AH31">
    <cfRule type="expression" dxfId="16" priority="14">
      <formula>AI31&lt;&gt;""</formula>
    </cfRule>
  </conditionalFormatting>
  <conditionalFormatting sqref="AH32">
    <cfRule type="expression" dxfId="15" priority="15">
      <formula>AI32&lt;&gt;""</formula>
    </cfRule>
  </conditionalFormatting>
  <conditionalFormatting sqref="AH33">
    <cfRule type="expression" dxfId="14" priority="16">
      <formula>AI33&lt;&gt;""</formula>
    </cfRule>
  </conditionalFormatting>
  <conditionalFormatting sqref="AH34">
    <cfRule type="expression" dxfId="13" priority="17">
      <formula>AI34&lt;&gt;""</formula>
    </cfRule>
  </conditionalFormatting>
  <conditionalFormatting sqref="AH35">
    <cfRule type="expression" dxfId="12" priority="18">
      <formula>AI35&lt;&gt;""</formula>
    </cfRule>
  </conditionalFormatting>
  <conditionalFormatting sqref="AO16">
    <cfRule type="expression" dxfId="11" priority="7">
      <formula>AP16&lt;&gt;""</formula>
    </cfRule>
  </conditionalFormatting>
  <conditionalFormatting sqref="AO17">
    <cfRule type="expression" dxfId="10" priority="8">
      <formula>AP17&lt;&gt;""</formula>
    </cfRule>
  </conditionalFormatting>
  <conditionalFormatting sqref="AO18">
    <cfRule type="expression" dxfId="9" priority="9">
      <formula>AP18&lt;&gt;""</formula>
    </cfRule>
  </conditionalFormatting>
  <conditionalFormatting sqref="AO19">
    <cfRule type="expression" dxfId="8" priority="10">
      <formula>AP19&lt;&gt;""</formula>
    </cfRule>
  </conditionalFormatting>
  <conditionalFormatting sqref="AO20">
    <cfRule type="expression" dxfId="7" priority="11">
      <formula>AP20&lt;&gt;""</formula>
    </cfRule>
  </conditionalFormatting>
  <conditionalFormatting sqref="AO21">
    <cfRule type="expression" dxfId="6" priority="12">
      <formula>AP21&lt;&gt;""</formula>
    </cfRule>
  </conditionalFormatting>
  <conditionalFormatting sqref="AO30">
    <cfRule type="expression" dxfId="5" priority="1">
      <formula>AP30&lt;&gt;""</formula>
    </cfRule>
  </conditionalFormatting>
  <conditionalFormatting sqref="AO31">
    <cfRule type="expression" dxfId="4" priority="2">
      <formula>AP31&lt;&gt;""</formula>
    </cfRule>
  </conditionalFormatting>
  <conditionalFormatting sqref="AO32">
    <cfRule type="expression" dxfId="3" priority="3">
      <formula>AP32&lt;&gt;""</formula>
    </cfRule>
  </conditionalFormatting>
  <conditionalFormatting sqref="AO33">
    <cfRule type="expression" dxfId="2" priority="4">
      <formula>AP33&lt;&gt;""</formula>
    </cfRule>
  </conditionalFormatting>
  <conditionalFormatting sqref="AO34">
    <cfRule type="expression" dxfId="1" priority="5">
      <formula>AP34&lt;&gt;""</formula>
    </cfRule>
  </conditionalFormatting>
  <conditionalFormatting sqref="AO35">
    <cfRule type="expression" dxfId="0" priority="6">
      <formula>AP35&lt;&gt;""</formula>
    </cfRule>
  </conditionalFormatting>
  <dataValidations count="2">
    <dataValidation type="list" allowBlank="1" showInputMessage="1" showErrorMessage="1" sqref="BP14" xr:uid="{6174EB95-3D07-4030-BE90-A2B83456D377}">
      <formula1>"Einkommen,Fixkosten,Variablekosten,Investment"</formula1>
    </dataValidation>
    <dataValidation type="list" allowBlank="1" showInputMessage="1" showErrorMessage="1" sqref="BP15" xr:uid="{D8277C3C-07FC-455F-95D7-4C5E10B0E2AF}">
      <formula1>INDIRECT("Kat_"&amp;$BP$14)</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4" r:id="rId3" name="Check Box 2">
              <controlPr defaultSize="0" autoFill="0" autoLine="0" autoPict="0">
                <anchor moveWithCells="1">
                  <from>
                    <xdr:col>56</xdr:col>
                    <xdr:colOff>198120</xdr:colOff>
                    <xdr:row>12</xdr:row>
                    <xdr:rowOff>38100</xdr:rowOff>
                  </from>
                  <to>
                    <xdr:col>57</xdr:col>
                    <xdr:colOff>556260</xdr:colOff>
                    <xdr:row>13</xdr:row>
                    <xdr:rowOff>60960</xdr:rowOff>
                  </to>
                </anchor>
              </controlPr>
            </control>
          </mc:Choice>
        </mc:AlternateContent>
        <mc:AlternateContent xmlns:mc="http://schemas.openxmlformats.org/markup-compatibility/2006">
          <mc:Choice Requires="x14">
            <control shapeId="8195" r:id="rId4" name="Check Box 3">
              <controlPr defaultSize="0" autoFill="0" autoLine="0" autoPict="0">
                <anchor moveWithCells="1">
                  <from>
                    <xdr:col>56</xdr:col>
                    <xdr:colOff>198120</xdr:colOff>
                    <xdr:row>13</xdr:row>
                    <xdr:rowOff>60960</xdr:rowOff>
                  </from>
                  <to>
                    <xdr:col>57</xdr:col>
                    <xdr:colOff>556260</xdr:colOff>
                    <xdr:row>14</xdr:row>
                    <xdr:rowOff>76200</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56</xdr:col>
                    <xdr:colOff>198120</xdr:colOff>
                    <xdr:row>14</xdr:row>
                    <xdr:rowOff>83820</xdr:rowOff>
                  </from>
                  <to>
                    <xdr:col>57</xdr:col>
                    <xdr:colOff>556260</xdr:colOff>
                    <xdr:row>15</xdr:row>
                    <xdr:rowOff>106680</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56</xdr:col>
                    <xdr:colOff>198120</xdr:colOff>
                    <xdr:row>15</xdr:row>
                    <xdr:rowOff>114300</xdr:rowOff>
                  </from>
                  <to>
                    <xdr:col>57</xdr:col>
                    <xdr:colOff>556260</xdr:colOff>
                    <xdr:row>16</xdr:row>
                    <xdr:rowOff>137160</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55</xdr:col>
                    <xdr:colOff>411480</xdr:colOff>
                    <xdr:row>12</xdr:row>
                    <xdr:rowOff>38100</xdr:rowOff>
                  </from>
                  <to>
                    <xdr:col>56</xdr:col>
                    <xdr:colOff>373380</xdr:colOff>
                    <xdr:row>13</xdr:row>
                    <xdr:rowOff>60960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E598824-AA6D-4FB5-A2C0-A03F681FE64B}">
          <x14:formula1>
            <xm:f>'Dropdown Data'!$F$6:$F$19</xm:f>
          </x14:formula1>
          <xm:sqref>AQ9:AR9</xm:sqref>
        </x14:dataValidation>
        <x14:dataValidation type="list" allowBlank="1" showInputMessage="1" showErrorMessage="1" xr:uid="{08B3ACCF-CC9F-40C8-8C6B-1ED7A75455EA}">
          <x14:formula1>
            <xm:f>'Dropdown Data'!$D$6:$D$21</xm:f>
          </x14:formula1>
          <xm:sqref>AQ6:AR6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51</vt:i4>
      </vt:variant>
    </vt:vector>
  </HeadingPairs>
  <TitlesOfParts>
    <vt:vector size="59" baseType="lpstr">
      <vt:lpstr>Data</vt:lpstr>
      <vt:lpstr>Dropdown Data</vt:lpstr>
      <vt:lpstr>Calculations</vt:lpstr>
      <vt:lpstr>Import</vt:lpstr>
      <vt:lpstr>Settings</vt:lpstr>
      <vt:lpstr>Budget Tracking</vt:lpstr>
      <vt:lpstr>Budget Planning</vt:lpstr>
      <vt:lpstr>Budget Dashboard</vt:lpstr>
      <vt:lpstr>'Budget Dashboard'!budget</vt:lpstr>
      <vt:lpstr>'Budget Dashboard'!budget_range</vt:lpstr>
      <vt:lpstr>'Budget Dashboard'!budget_rank</vt:lpstr>
      <vt:lpstr>Calculations!cc_budget</vt:lpstr>
      <vt:lpstr>Calculations!cc_delta</vt:lpstr>
      <vt:lpstr>Calculations!cc_in_focus</vt:lpstr>
      <vt:lpstr>Calculations!cc_month_number</vt:lpstr>
      <vt:lpstr>Calculations!cc_show_remaining_budget</vt:lpstr>
      <vt:lpstr>Calculations!cc_show_type</vt:lpstr>
      <vt:lpstr>Calculations!cc_tracked</vt:lpstr>
      <vt:lpstr>Calculations!cc_type</vt:lpstr>
      <vt:lpstr>'Budget Dashboard'!comb_rank</vt:lpstr>
      <vt:lpstr>'Budget Dashboard'!comb_rank_norm</vt:lpstr>
      <vt:lpstr>'Budget Dashboard'!comb_rank_norm_run_range</vt:lpstr>
      <vt:lpstr>'Budget Dashboard'!comb_rank_range</vt:lpstr>
      <vt:lpstr>'Budget Dashboard'!comb_rank_unique</vt:lpstr>
      <vt:lpstr>current_day</vt:lpstr>
      <vt:lpstr>'Budget Dashboard'!header_row_id</vt:lpstr>
      <vt:lpstr>income_shift_start_day</vt:lpstr>
      <vt:lpstr>income_shift_status</vt:lpstr>
      <vt:lpstr>'Budget Dashboard'!is_cat</vt:lpstr>
      <vt:lpstr>'Budget Dashboard'!is_empty</vt:lpstr>
      <vt:lpstr>'Budget Dashboard'!is_header</vt:lpstr>
      <vt:lpstr>'Budget Dashboard'!is_total</vt:lpstr>
      <vt:lpstr>'Budget Dashboard'!item</vt:lpstr>
      <vt:lpstr>Kat_Einkommen</vt:lpstr>
      <vt:lpstr>Kat_Fixkosten</vt:lpstr>
      <vt:lpstr>Kat_Investment</vt:lpstr>
      <vt:lpstr>Kat_Variablekosten</vt:lpstr>
      <vt:lpstr>kpi_status_options</vt:lpstr>
      <vt:lpstr>'Budget Dashboard'!out_budget</vt:lpstr>
      <vt:lpstr>'Budget Dashboard'!out_percebtage_completed</vt:lpstr>
      <vt:lpstr>'Budget Dashboard'!out_tracked</vt:lpstr>
      <vt:lpstr>'Budget Dashboard'!row_id</vt:lpstr>
      <vt:lpstr>savings_rate_calculation_type</vt:lpstr>
      <vt:lpstr>selected_period</vt:lpstr>
      <vt:lpstr>selected_period_display</vt:lpstr>
      <vt:lpstr>selected_year</vt:lpstr>
      <vt:lpstr>'Budget Dashboard'!sort_max_row</vt:lpstr>
      <vt:lpstr>'Budget Dashboard'!sort_min_row</vt:lpstr>
      <vt:lpstr>'Budget Dashboard'!sorted_row_id__Lookup</vt:lpstr>
      <vt:lpstr>start_year</vt:lpstr>
      <vt:lpstr>Sub_Einkommen</vt:lpstr>
      <vt:lpstr>Sub_Fixkosten</vt:lpstr>
      <vt:lpstr>Sub_Investment</vt:lpstr>
      <vt:lpstr>Sub_Variablekosten</vt:lpstr>
      <vt:lpstr>subcategory_chart_data</vt:lpstr>
      <vt:lpstr>'Budget Dashboard'!tracked</vt:lpstr>
      <vt:lpstr>'Budget Dashboard'!tracked_range</vt:lpstr>
      <vt:lpstr>'Budget Dashboard'!tracked_rank</vt:lpstr>
      <vt:lpstr>'Budget Dashboard'!type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Siess</dc:creator>
  <cp:lastModifiedBy>Kevin Siess</cp:lastModifiedBy>
  <dcterms:created xsi:type="dcterms:W3CDTF">2025-06-09T13:38:20Z</dcterms:created>
  <dcterms:modified xsi:type="dcterms:W3CDTF">2026-05-05T19:19:20Z</dcterms:modified>
</cp:coreProperties>
</file>